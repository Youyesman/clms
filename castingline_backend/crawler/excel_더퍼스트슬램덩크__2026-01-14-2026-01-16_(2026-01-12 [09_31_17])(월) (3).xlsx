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상영시간표_2026-01-14" state="visible" r:id="rId4"/>
    <sheet sheetId="2" name="상영시간표_2026-01-15" state="visible" r:id="rId5"/>
    <sheet sheetId="3" name="상영시간표_2026-01-16" state="visible" r:id="rId6"/>
    <sheet sheetId="4" name="계열사별" state="visible" r:id="rId7"/>
    <sheet sheetId="5" name="지역별" state="visible" r:id="rId8"/>
    <sheet sheetId="6" name="집계작 및 경쟁작 멀티3사 비교" state="visible" r:id="rId9"/>
    <sheet sheetId="7" name="경쟁작" state="visible" r:id="rId10"/>
    <sheet sheetId="8" name="포맷별 요약표" state="visible" r:id="rId11"/>
  </sheets>
  <calcPr calcId="171027"/>
</workbook>
</file>

<file path=xl/sharedStrings.xml><?xml version="1.0" encoding="utf-8"?>
<sst xmlns="http://schemas.openxmlformats.org/spreadsheetml/2006/main" count="2575" uniqueCount="504">
  <si>
    <t>더퍼스트슬램덩크</t>
  </si>
  <si>
    <t>2026-01-14 | (2026-01-12 [09_31_17])(월)</t>
  </si>
  <si>
    <t>지역</t>
  </si>
  <si>
    <t>극장명</t>
  </si>
  <si>
    <t>포맷</t>
  </si>
  <si>
    <t>구분</t>
  </si>
  <si>
    <t>관</t>
  </si>
  <si>
    <t>좌석수</t>
  </si>
  <si>
    <t>1회</t>
  </si>
  <si>
    <t>2회</t>
  </si>
  <si>
    <t>3회</t>
  </si>
  <si>
    <t>4회</t>
  </si>
  <si>
    <t>5회</t>
  </si>
  <si>
    <t>6회</t>
  </si>
  <si>
    <t>7회</t>
  </si>
  <si>
    <t>8회</t>
  </si>
  <si>
    <t>9회</t>
  </si>
  <si>
    <t>10회</t>
  </si>
  <si>
    <t>11회</t>
  </si>
  <si>
    <t>12회</t>
  </si>
  <si>
    <t>총회차</t>
  </si>
  <si>
    <t>총스크린</t>
  </si>
  <si>
    <t>총좌석수</t>
  </si>
  <si>
    <t>판매좌석수</t>
  </si>
  <si>
    <t>경강</t>
  </si>
  <si>
    <t>CGV 광교</t>
  </si>
  <si>
    <t>IMAX</t>
  </si>
  <si>
    <t>자막</t>
  </si>
  <si>
    <t>IMAX관</t>
  </si>
  <si>
    <t>12:50</t>
  </si>
  <si>
    <t>19:20</t>
  </si>
  <si>
    <t>2</t>
  </si>
  <si>
    <t>1</t>
  </si>
  <si>
    <t>564</t>
  </si>
  <si>
    <t>53</t>
  </si>
  <si>
    <t>CGV 동탄</t>
  </si>
  <si>
    <t>13:50</t>
  </si>
  <si>
    <t>20:20</t>
  </si>
  <si>
    <t>492</t>
  </si>
  <si>
    <t>41</t>
  </si>
  <si>
    <t>CGV 소풍</t>
  </si>
  <si>
    <t>09:00</t>
  </si>
  <si>
    <t>11:35</t>
  </si>
  <si>
    <t>692</t>
  </si>
  <si>
    <t>48</t>
  </si>
  <si>
    <t>CGV 의정부</t>
  </si>
  <si>
    <t>13:10</t>
  </si>
  <si>
    <t>19:40</t>
  </si>
  <si>
    <t>532</t>
  </si>
  <si>
    <t>47</t>
  </si>
  <si>
    <t>CGV 인천</t>
  </si>
  <si>
    <t>12:40</t>
  </si>
  <si>
    <t>642</t>
  </si>
  <si>
    <t>168</t>
  </si>
  <si>
    <t>CGV 일산</t>
  </si>
  <si>
    <t>12:20</t>
  </si>
  <si>
    <t>19:10</t>
  </si>
  <si>
    <t>500</t>
  </si>
  <si>
    <t>45</t>
  </si>
  <si>
    <t>CGV 춘천</t>
  </si>
  <si>
    <t>10:00</t>
  </si>
  <si>
    <t>13:00</t>
  </si>
  <si>
    <t>16</t>
  </si>
  <si>
    <t>CGV 판교</t>
  </si>
  <si>
    <t>09:30</t>
  </si>
  <si>
    <t>12:05</t>
  </si>
  <si>
    <t>594</t>
  </si>
  <si>
    <t>68</t>
  </si>
  <si>
    <t>CGV 평택</t>
  </si>
  <si>
    <t>19:15</t>
  </si>
  <si>
    <t>456</t>
  </si>
  <si>
    <t>19</t>
  </si>
  <si>
    <t>경남</t>
  </si>
  <si>
    <t>CGV 서면</t>
  </si>
  <si>
    <t>16:40</t>
  </si>
  <si>
    <t>716</t>
  </si>
  <si>
    <t>148</t>
  </si>
  <si>
    <t>CGV 센텀시티</t>
  </si>
  <si>
    <t>10:10</t>
  </si>
  <si>
    <t>12:45</t>
  </si>
  <si>
    <t>844</t>
  </si>
  <si>
    <t>89</t>
  </si>
  <si>
    <t>CGV 울산삼산</t>
  </si>
  <si>
    <t>IMAX관[9관]</t>
  </si>
  <si>
    <t>882</t>
  </si>
  <si>
    <t>126</t>
  </si>
  <si>
    <t>CGV 창원더시티</t>
  </si>
  <si>
    <t>608</t>
  </si>
  <si>
    <t>경북</t>
  </si>
  <si>
    <t>CGV 대구</t>
  </si>
  <si>
    <t>10:20</t>
  </si>
  <si>
    <t>17:40</t>
  </si>
  <si>
    <t>482</t>
  </si>
  <si>
    <t>174</t>
  </si>
  <si>
    <t>서울</t>
  </si>
  <si>
    <t>CGV 압구정</t>
  </si>
  <si>
    <t>IMAX관 with PRIVATE BOX</t>
  </si>
  <si>
    <t>13:40</t>
  </si>
  <si>
    <t>20:30</t>
  </si>
  <si>
    <t>360</t>
  </si>
  <si>
    <t>71</t>
  </si>
  <si>
    <t>CGV 영등포타임스퀘어</t>
  </si>
  <si>
    <t>09:10</t>
  </si>
  <si>
    <t>20:00</t>
  </si>
  <si>
    <t>774</t>
  </si>
  <si>
    <t>346</t>
  </si>
  <si>
    <t>CGV 왕십리</t>
  </si>
  <si>
    <t>536</t>
  </si>
  <si>
    <t>280</t>
  </si>
  <si>
    <t>CGV 용산아이파크몰</t>
  </si>
  <si>
    <t>08:00</t>
  </si>
  <si>
    <t>10:50</t>
  </si>
  <si>
    <t>1,248</t>
  </si>
  <si>
    <t>822</t>
  </si>
  <si>
    <t>CGV 천호</t>
  </si>
  <si>
    <t>646</t>
  </si>
  <si>
    <t>92</t>
  </si>
  <si>
    <t>충청</t>
  </si>
  <si>
    <t>CGV 대전</t>
  </si>
  <si>
    <t>20:15</t>
  </si>
  <si>
    <t>728</t>
  </si>
  <si>
    <t>10</t>
  </si>
  <si>
    <t>CGV 대전터미널</t>
  </si>
  <si>
    <t>11:00</t>
  </si>
  <si>
    <t>18:30</t>
  </si>
  <si>
    <t>450</t>
  </si>
  <si>
    <t>101</t>
  </si>
  <si>
    <t>CGV 천안터미널</t>
  </si>
  <si>
    <t>16:45</t>
  </si>
  <si>
    <t>420</t>
  </si>
  <si>
    <t>39</t>
  </si>
  <si>
    <t>CGV 천안펜타포트</t>
  </si>
  <si>
    <t>17:50</t>
  </si>
  <si>
    <t>20:35</t>
  </si>
  <si>
    <t>334</t>
  </si>
  <si>
    <t>CGV 청주(서문)</t>
  </si>
  <si>
    <t>10:40</t>
  </si>
  <si>
    <t>13:15</t>
  </si>
  <si>
    <t>516</t>
  </si>
  <si>
    <t>18</t>
  </si>
  <si>
    <t>호남</t>
  </si>
  <si>
    <t>CGV 순천신대</t>
  </si>
  <si>
    <t>426</t>
  </si>
  <si>
    <t>15</t>
  </si>
  <si>
    <t>CGV 전주효자</t>
  </si>
  <si>
    <t>12:10</t>
  </si>
  <si>
    <t>746</t>
  </si>
  <si>
    <t>59</t>
  </si>
  <si>
    <t>CGV소계</t>
  </si>
  <si>
    <t>52</t>
  </si>
  <si>
    <t>15,830</t>
  </si>
  <si>
    <t>2,946</t>
  </si>
  <si>
    <t>롯데동탄</t>
  </si>
  <si>
    <t>2D</t>
  </si>
  <si>
    <t>3관</t>
  </si>
  <si>
    <t>15:10</t>
  </si>
  <si>
    <t>더빙</t>
  </si>
  <si>
    <t>17:45</t>
  </si>
  <si>
    <t>롯데부평역사</t>
  </si>
  <si>
    <t>8관</t>
  </si>
  <si>
    <t>17:30</t>
  </si>
  <si>
    <t>20:10</t>
  </si>
  <si>
    <t>롯데성남중앙(신흥역)</t>
  </si>
  <si>
    <t>6관</t>
  </si>
  <si>
    <t>롯데수원(수원역)</t>
  </si>
  <si>
    <t>5관</t>
  </si>
  <si>
    <t>13:20</t>
  </si>
  <si>
    <t>22:15</t>
  </si>
  <si>
    <t>롯데평촌(범계역)</t>
  </si>
  <si>
    <t>2관</t>
  </si>
  <si>
    <t>14:10</t>
  </si>
  <si>
    <t>19:30</t>
  </si>
  <si>
    <t>16:50</t>
  </si>
  <si>
    <t>롯데동래</t>
  </si>
  <si>
    <t>4관</t>
  </si>
  <si>
    <t>17:25</t>
  </si>
  <si>
    <t>롯데부산본점</t>
  </si>
  <si>
    <t>롯데동성로</t>
  </si>
  <si>
    <t>7관</t>
  </si>
  <si>
    <t>11:30</t>
  </si>
  <si>
    <t>20:40</t>
  </si>
  <si>
    <t>18:00</t>
  </si>
  <si>
    <t>롯데김포공항</t>
  </si>
  <si>
    <t>14:20</t>
  </si>
  <si>
    <t>16:55</t>
  </si>
  <si>
    <t>롯데노원</t>
  </si>
  <si>
    <t>14:00</t>
  </si>
  <si>
    <t>16:35</t>
  </si>
  <si>
    <t>롯데도곡</t>
  </si>
  <si>
    <t>1관</t>
  </si>
  <si>
    <t>롯데신림</t>
  </si>
  <si>
    <t>19:25</t>
  </si>
  <si>
    <t>롯데월드타워</t>
  </si>
  <si>
    <t>14:30</t>
  </si>
  <si>
    <t>17:15</t>
  </si>
  <si>
    <t>롯데은평(롯데몰)</t>
  </si>
  <si>
    <t>15:40</t>
  </si>
  <si>
    <t>18:15</t>
  </si>
  <si>
    <t>20:50</t>
  </si>
  <si>
    <t>롯데청량리</t>
  </si>
  <si>
    <t>롯데홍대입구</t>
  </si>
  <si>
    <t>롯데대전센트럴</t>
  </si>
  <si>
    <t>10:30</t>
  </si>
  <si>
    <t>3</t>
  </si>
  <si>
    <t>롯데군산몰</t>
  </si>
  <si>
    <t>15:00</t>
  </si>
  <si>
    <t>롯데제주연동</t>
  </si>
  <si>
    <t>LOTTE소계</t>
  </si>
  <si>
    <t>57</t>
  </si>
  <si>
    <t>11,391</t>
  </si>
  <si>
    <t>1,678</t>
  </si>
  <si>
    <t>메가박스고양스타필드</t>
  </si>
  <si>
    <t>DOLBY VISION+ATMOS</t>
  </si>
  <si>
    <t>22:00</t>
  </si>
  <si>
    <t>654</t>
  </si>
  <si>
    <t>66</t>
  </si>
  <si>
    <t>메가박스남양주현대아울렛스페이스원</t>
  </si>
  <si>
    <t>DOLBY CINEMA [Laser]</t>
  </si>
  <si>
    <t>19:45</t>
  </si>
  <si>
    <t>22:20</t>
  </si>
  <si>
    <t>870</t>
  </si>
  <si>
    <t>190</t>
  </si>
  <si>
    <t>메가박스송도(트리플스트리트)</t>
  </si>
  <si>
    <t>14:25</t>
  </si>
  <si>
    <t>855</t>
  </si>
  <si>
    <t>74</t>
  </si>
  <si>
    <t>메가박스수원AK플라자(수원역)</t>
  </si>
  <si>
    <t>11:15</t>
  </si>
  <si>
    <t>825</t>
  </si>
  <si>
    <t>186</t>
  </si>
  <si>
    <t>메가박스안성스타필드</t>
  </si>
  <si>
    <t>09:50</t>
  </si>
  <si>
    <t>16:10</t>
  </si>
  <si>
    <t>18:45</t>
  </si>
  <si>
    <t>762</t>
  </si>
  <si>
    <t>25</t>
  </si>
  <si>
    <t>메가박스하남스타필드</t>
  </si>
  <si>
    <t>14:45</t>
  </si>
  <si>
    <t>21:05</t>
  </si>
  <si>
    <t>1,008</t>
  </si>
  <si>
    <t>30</t>
  </si>
  <si>
    <t>메가박스대구신세계(동대구)</t>
  </si>
  <si>
    <t>21:50</t>
  </si>
  <si>
    <t>639</t>
  </si>
  <si>
    <t>181</t>
  </si>
  <si>
    <t>메가박스구의이스트폴</t>
  </si>
  <si>
    <t>290</t>
  </si>
  <si>
    <t>85</t>
  </si>
  <si>
    <t>메가박스목동</t>
  </si>
  <si>
    <t>15:55</t>
  </si>
  <si>
    <t>23:40</t>
  </si>
  <si>
    <t>4</t>
  </si>
  <si>
    <t>1,272</t>
  </si>
  <si>
    <t>96</t>
  </si>
  <si>
    <t>메가박스코엑스</t>
  </si>
  <si>
    <t>07:50</t>
  </si>
  <si>
    <t>17:05</t>
  </si>
  <si>
    <t>1,512</t>
  </si>
  <si>
    <t>439</t>
  </si>
  <si>
    <t>메가박스대전신세계아트앤사이언스</t>
  </si>
  <si>
    <t>11:50</t>
  </si>
  <si>
    <t>17:10</t>
  </si>
  <si>
    <t>19:50</t>
  </si>
  <si>
    <t>1,252</t>
  </si>
  <si>
    <t>167</t>
  </si>
  <si>
    <t>메가박스청주터미널</t>
  </si>
  <si>
    <t>DOLBY VISION+ATMOS관  (7층)</t>
  </si>
  <si>
    <t>17:20</t>
  </si>
  <si>
    <t>19:55</t>
  </si>
  <si>
    <t>22:30</t>
  </si>
  <si>
    <t>414</t>
  </si>
  <si>
    <t>29</t>
  </si>
  <si>
    <t>MEGA소계</t>
  </si>
  <si>
    <t>38</t>
  </si>
  <si>
    <t>10,353</t>
  </si>
  <si>
    <t>1,568</t>
  </si>
  <si>
    <t>총 계</t>
  </si>
  <si>
    <t>147</t>
  </si>
  <si>
    <t>37,574</t>
  </si>
  <si>
    <t>6,192</t>
  </si>
  <si>
    <t>2026-01-15 | (2026-01-12 [09_31_17])(월)</t>
  </si>
  <si>
    <t>21</t>
  </si>
  <si>
    <t>7</t>
  </si>
  <si>
    <t>9</t>
  </si>
  <si>
    <t>10:25</t>
  </si>
  <si>
    <t>0</t>
  </si>
  <si>
    <t>36</t>
  </si>
  <si>
    <t>6</t>
  </si>
  <si>
    <t>27</t>
  </si>
  <si>
    <t>70</t>
  </si>
  <si>
    <t>117</t>
  </si>
  <si>
    <t>434</t>
  </si>
  <si>
    <t>50</t>
  </si>
  <si>
    <t>5</t>
  </si>
  <si>
    <t>18:40</t>
  </si>
  <si>
    <t>21:20</t>
  </si>
  <si>
    <t>13</t>
  </si>
  <si>
    <t>992</t>
  </si>
  <si>
    <t>12:00</t>
  </si>
  <si>
    <t>14:40</t>
  </si>
  <si>
    <t>804</t>
  </si>
  <si>
    <t>77</t>
  </si>
  <si>
    <t>396</t>
  </si>
  <si>
    <t>11</t>
  </si>
  <si>
    <t>108</t>
  </si>
  <si>
    <t>08:20</t>
  </si>
  <si>
    <t>10:55</t>
  </si>
  <si>
    <t>570</t>
  </si>
  <si>
    <t>80</t>
  </si>
  <si>
    <t>254</t>
  </si>
  <si>
    <t>08:30</t>
  </si>
  <si>
    <t>15:25</t>
  </si>
  <si>
    <t>35</t>
  </si>
  <si>
    <t>26</t>
  </si>
  <si>
    <t>15:15</t>
  </si>
  <si>
    <t>20:25</t>
  </si>
  <si>
    <t>954</t>
  </si>
  <si>
    <t>626</t>
  </si>
  <si>
    <t>28</t>
  </si>
  <si>
    <t>7,104</t>
  </si>
  <si>
    <t>330</t>
  </si>
  <si>
    <t>137</t>
  </si>
  <si>
    <t>34,325</t>
  </si>
  <si>
    <t>1,718</t>
  </si>
  <si>
    <t>2026-01-16 | (2026-01-12 [09_31_17])(월)</t>
  </si>
  <si>
    <t>8</t>
  </si>
  <si>
    <t>12</t>
  </si>
  <si>
    <t>23</t>
  </si>
  <si>
    <t>32</t>
  </si>
  <si>
    <t>97</t>
  </si>
  <si>
    <t>238</t>
  </si>
  <si>
    <t>12:35</t>
  </si>
  <si>
    <t>44</t>
  </si>
  <si>
    <t>13,522</t>
  </si>
  <si>
    <t>523</t>
  </si>
  <si>
    <t>22:10</t>
  </si>
  <si>
    <t>19:00</t>
  </si>
  <si>
    <t>16:25</t>
  </si>
  <si>
    <t>22:50</t>
  </si>
  <si>
    <t>365</t>
  </si>
  <si>
    <t>16:30</t>
  </si>
  <si>
    <t>22:55</t>
  </si>
  <si>
    <t>436</t>
  </si>
  <si>
    <t>580</t>
  </si>
  <si>
    <t>06:40</t>
  </si>
  <si>
    <t>13:05</t>
  </si>
  <si>
    <t>08:10</t>
  </si>
  <si>
    <t>14</t>
  </si>
  <si>
    <t>3,298</t>
  </si>
  <si>
    <t>76</t>
  </si>
  <si>
    <t>115</t>
  </si>
  <si>
    <t>28,211</t>
  </si>
  <si>
    <t>964</t>
  </si>
  <si>
    <t>상영일자</t>
  </si>
  <si>
    <t>계열사</t>
  </si>
  <si>
    <t>극장수</t>
  </si>
  <si>
    <t>상영회차</t>
  </si>
  <si>
    <t>상영관수</t>
  </si>
  <si>
    <t>총 좌석수</t>
  </si>
  <si>
    <t>평균회차</t>
  </si>
  <si>
    <t>평균좌석수</t>
  </si>
  <si>
    <t>평균 좌판율</t>
  </si>
  <si>
    <t>2026-01-14</t>
  </si>
  <si>
    <t>CGV 계</t>
  </si>
  <si>
    <t>2.0</t>
  </si>
  <si>
    <t>304.4</t>
  </si>
  <si>
    <t>18.6</t>
  </si>
  <si>
    <t>LOTTE 계</t>
  </si>
  <si>
    <t>3.0</t>
  </si>
  <si>
    <t>199.8</t>
  </si>
  <si>
    <t>14.7</t>
  </si>
  <si>
    <t>MEGA 계</t>
  </si>
  <si>
    <t>3.2</t>
  </si>
  <si>
    <t>272.4</t>
  </si>
  <si>
    <t>15.1</t>
  </si>
  <si>
    <t>계</t>
  </si>
  <si>
    <t>2.6</t>
  </si>
  <si>
    <t>255.6</t>
  </si>
  <si>
    <t>16.5</t>
  </si>
  <si>
    <t>2026-01-15</t>
  </si>
  <si>
    <t>6.3</t>
  </si>
  <si>
    <t>3.5</t>
  </si>
  <si>
    <t>2.5</t>
  </si>
  <si>
    <t>253.7</t>
  </si>
  <si>
    <t>4.6</t>
  </si>
  <si>
    <t>56</t>
  </si>
  <si>
    <t>2.4</t>
  </si>
  <si>
    <t>250.5</t>
  </si>
  <si>
    <t>5.0</t>
  </si>
  <si>
    <t>2026-01-16</t>
  </si>
  <si>
    <t>22</t>
  </si>
  <si>
    <t>307.3</t>
  </si>
  <si>
    <t>3.9</t>
  </si>
  <si>
    <t>2.3</t>
  </si>
  <si>
    <t>235.6</t>
  </si>
  <si>
    <t>245.3</t>
  </si>
  <si>
    <t>3.4</t>
  </si>
  <si>
    <t>20</t>
  </si>
  <si>
    <t>51</t>
  </si>
  <si>
    <t>12,917</t>
  </si>
  <si>
    <t>253.3</t>
  </si>
  <si>
    <t>10.6</t>
  </si>
  <si>
    <t>4,364</t>
  </si>
  <si>
    <t>311.7</t>
  </si>
  <si>
    <t>14.0</t>
  </si>
  <si>
    <t>1,361</t>
  </si>
  <si>
    <t>2.7</t>
  </si>
  <si>
    <t>170.1</t>
  </si>
  <si>
    <t>36.1</t>
  </si>
  <si>
    <t>11,705</t>
  </si>
  <si>
    <t>2.8</t>
  </si>
  <si>
    <t>266.0</t>
  </si>
  <si>
    <t>27.3</t>
  </si>
  <si>
    <t>4,564</t>
  </si>
  <si>
    <t>228.2</t>
  </si>
  <si>
    <t>8.5</t>
  </si>
  <si>
    <t>2,663</t>
  </si>
  <si>
    <t>266.3</t>
  </si>
  <si>
    <t>4.7</t>
  </si>
  <si>
    <t>12,124</t>
  </si>
  <si>
    <t>252.6</t>
  </si>
  <si>
    <t>3.7</t>
  </si>
  <si>
    <t>10.4</t>
  </si>
  <si>
    <t>9,875</t>
  </si>
  <si>
    <t>253.2</t>
  </si>
  <si>
    <t>9.3</t>
  </si>
  <si>
    <t>3,938</t>
  </si>
  <si>
    <t>218.8</t>
  </si>
  <si>
    <t>1.8</t>
  </si>
  <si>
    <t>0.9</t>
  </si>
  <si>
    <t>17</t>
  </si>
  <si>
    <t>40</t>
  </si>
  <si>
    <t>10,037</t>
  </si>
  <si>
    <t>250.9</t>
  </si>
  <si>
    <t>2.1</t>
  </si>
  <si>
    <t>3,756</t>
  </si>
  <si>
    <t>313.0</t>
  </si>
  <si>
    <t>722</t>
  </si>
  <si>
    <t>144.4</t>
  </si>
  <si>
    <t>6.2</t>
  </si>
  <si>
    <t>34</t>
  </si>
  <si>
    <t>8,147</t>
  </si>
  <si>
    <t>239.6</t>
  </si>
  <si>
    <t>7.2</t>
  </si>
  <si>
    <t>3,312</t>
  </si>
  <si>
    <t>207.0</t>
  </si>
  <si>
    <t>1.2</t>
  </si>
  <si>
    <t>2,237</t>
  </si>
  <si>
    <t>279.6</t>
  </si>
  <si>
    <t>0.6</t>
  </si>
  <si>
    <t>예매오픈현황</t>
  </si>
  <si>
    <t>영화관</t>
  </si>
  <si>
    <t>상영관</t>
  </si>
  <si>
    <t>회차</t>
  </si>
  <si>
    <t>18.6%</t>
  </si>
  <si>
    <t>14.7%</t>
  </si>
  <si>
    <t>15.1%</t>
  </si>
  <si>
    <t>_</t>
  </si>
  <si>
    <t>57 개관</t>
  </si>
  <si>
    <t>147 회</t>
  </si>
  <si>
    <t>37,574 석</t>
  </si>
  <si>
    <t>16.5%</t>
  </si>
  <si>
    <t>6.3%</t>
  </si>
  <si>
    <t>3.5%</t>
  </si>
  <si>
    <t>4.6%</t>
  </si>
  <si>
    <t>56 개관</t>
  </si>
  <si>
    <t>137 회</t>
  </si>
  <si>
    <t>34,325 석</t>
  </si>
  <si>
    <t>5.0%</t>
  </si>
  <si>
    <t>3.9%</t>
  </si>
  <si>
    <t>3.2%</t>
  </si>
  <si>
    <t>2.3%</t>
  </si>
  <si>
    <t>47 개관</t>
  </si>
  <si>
    <t>115 회</t>
  </si>
  <si>
    <t>28,211 석</t>
  </si>
  <si>
    <t>3.4%</t>
  </si>
  <si>
    <t>(2026-01-12 [09_31_17])(월)</t>
  </si>
  <si>
    <t>포맷별</t>
  </si>
  <si>
    <t>CGV</t>
  </si>
  <si>
    <t>LOTTE</t>
  </si>
  <si>
    <t>7,294</t>
  </si>
  <si>
    <t>16.1</t>
  </si>
  <si>
    <t>MEGA</t>
  </si>
  <si>
    <t>33,477</t>
  </si>
  <si>
    <t>17.0</t>
  </si>
  <si>
    <t>31</t>
  </si>
  <si>
    <t>95</t>
  </si>
  <si>
    <t>3.1</t>
  </si>
  <si>
    <t>21,744</t>
  </si>
  <si>
    <t>14.9</t>
  </si>
  <si>
    <t>4,097</t>
  </si>
  <si>
    <t>1.1</t>
  </si>
  <si>
    <t>12.3</t>
  </si>
  <si>
    <t>6,758</t>
  </si>
  <si>
    <t>54</t>
  </si>
  <si>
    <t>114</t>
  </si>
  <si>
    <t>29,692</t>
  </si>
  <si>
    <t>5.1</t>
  </si>
  <si>
    <t>18,495</t>
  </si>
  <si>
    <t>4,633</t>
  </si>
  <si>
    <t>46</t>
  </si>
  <si>
    <t>94</t>
  </si>
  <si>
    <t>24,114</t>
  </si>
  <si>
    <t>14,689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</si>
</sst>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석"/>
  </numFmts>
  <fonts count="15" x14ac:knownFonts="1">
    <font>
      <color theme="1"/>
      <family val="2"/>
      <scheme val="minor"/>
      <sz val="11"/>
      <name val="Calibri"/>
    </font>
    <font>
      <b/>
      <color rgb="002060"/>
      <sz val="24"/>
    </font>
    <font>
      <b/>
      <color rgb="ff3a00"/>
      <sz val="12"/>
    </font>
    <font>
      <b/>
      <sz val="10"/>
    </font>
    <font>
      <b/>
      <color rgb="ffffff"/>
      <sz val="10"/>
    </font>
    <font>
      <b/>
      <sz val="9"/>
    </font>
    <font>
      <sz val="9"/>
    </font>
    <font>
      <b/>
      <color rgb="000000"/>
      <sz val="13"/>
    </font>
    <font>
      <b/>
      <color rgb="ffffff"/>
      <sz val="13"/>
    </font>
    <font>
      <b/>
    </font>
    <font>
      <b/>
      <sz val="14"/>
    </font>
    <font>
      <b/>
      <color rgb="202124"/>
      <sz val="14"/>
    </font>
    <font>
      <b/>
      <color rgb="ff3a00"/>
    </font>
    <font>
      <b/>
      <color rgb="#000"/>
      <sz val="10"/>
    </font>
    <font>
      <color rgb="#000"/>
      <sz val="10"/>
    </font>
  </fonts>
  <fills count="15">
    <fill>
      <patternFill patternType="none"/>
    </fill>
    <fill>
      <patternFill patternType="gray125"/>
    </fill>
    <fill>
      <patternFill patternType="solid">
        <fgColor rgb="ffff99"/>
      </patternFill>
    </fill>
    <fill>
      <patternFill patternType="solid">
        <fgColor rgb="FFFF66"/>
      </patternFill>
    </fill>
    <fill>
      <patternFill patternType="solid">
        <fgColor rgb="000000"/>
      </patternFill>
    </fill>
    <fill>
      <patternFill patternType="solid">
        <fgColor rgb="ffcccc"/>
      </patternFill>
    </fill>
    <fill>
      <patternFill patternType="solid">
        <fgColor rgb="0033cc"/>
      </patternFill>
    </fill>
    <fill>
      <patternFill patternType="solid">
        <fgColor rgb="d9e1f2"/>
      </patternFill>
    </fill>
    <fill>
      <patternFill patternType="solid">
        <fgColor rgb="ffe699"/>
      </patternFill>
    </fill>
    <fill>
      <patternFill patternType="solid">
        <fgColor rgb="e2efda"/>
      </patternFill>
    </fill>
    <fill>
      <patternFill patternType="solid">
        <fgColor rgb="c5d9f1"/>
      </patternFill>
    </fill>
    <fill>
      <patternFill patternType="solid">
        <fgColor rgb="e3e0ea"/>
      </patternFill>
    </fill>
    <fill>
      <patternFill patternType="solid">
        <fgColor rgb="eaf2df"/>
      </patternFill>
    </fill>
    <fill>
      <patternFill patternType="solid">
        <fgColor rgb="ebf6a6"/>
      </patternFill>
    </fill>
    <fill>
      <patternFill patternType="solid">
        <fgColor rgb="d9eff3"/>
      </patternFill>
    </fill>
  </fills>
  <borders count="11">
    <border>
      <left/>
      <right/>
      <top/>
      <bottom/>
      <diagonal/>
    </border>
    <border>
      <left style="thick"/>
      <right style="thick"/>
      <top style="thick"/>
      <bottom style="thick"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thick"/>
      <right style="thin"/>
      <top style="thick"/>
      <bottom style="thick"/>
      <diagonal/>
    </border>
    <border>
      <left style="thin"/>
      <right style="thin"/>
      <top style="thick"/>
      <bottom style="thick"/>
      <diagonal/>
    </border>
    <border>
      <left style="medium"/>
      <right style="medium"/>
      <top style="thick"/>
      <bottom style="thick"/>
      <diagonal/>
    </border>
    <border>
      <left style="medium"/>
      <right style="thick"/>
      <top style="thick"/>
      <bottom style="thick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3" fontId="7" fillId="5" borderId="4" xfId="0" applyNumberFormat="1" applyFont="1" applyFill="1" applyBorder="1" applyAlignment="1">
      <alignment horizontal="center" vertical="center"/>
    </xf>
    <xf numFmtId="3" fontId="7" fillId="5" borderId="5" xfId="0" applyNumberFormat="1" applyFont="1" applyFill="1" applyBorder="1" applyAlignment="1">
      <alignment horizontal="center" vertical="center"/>
    </xf>
    <xf numFmtId="164" fontId="7" fillId="5" borderId="6" xfId="0" applyNumberFormat="1" applyFont="1" applyFill="1" applyBorder="1" applyAlignment="1">
      <alignment horizontal="center" vertical="center"/>
    </xf>
    <xf numFmtId="3" fontId="7" fillId="5" borderId="6" xfId="0" applyNumberFormat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12" fillId="0" borderId="0" xfId="0" applyFont="1"/>
    <xf numFmtId="0" fontId="13" fillId="10" borderId="2" xfId="0" applyFont="1" applyFill="1" applyBorder="1" applyAlignment="1">
      <alignment horizontal="center" vertical="center"/>
    </xf>
    <xf numFmtId="0" fontId="13" fillId="10" borderId="8" xfId="0" applyFont="1" applyFill="1" applyBorder="1" applyAlignment="1">
      <alignment horizontal="center" vertical="center"/>
    </xf>
    <xf numFmtId="0" fontId="13" fillId="10" borderId="9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right" vertical="center"/>
    </xf>
    <xf numFmtId="0" fontId="14" fillId="0" borderId="8" xfId="0" applyFont="1" applyBorder="1" applyAlignment="1">
      <alignment horizontal="right" vertical="center"/>
    </xf>
    <xf numFmtId="0" fontId="13" fillId="11" borderId="2" xfId="0" applyFont="1" applyFill="1" applyBorder="1" applyAlignment="1">
      <alignment horizontal="right" vertical="center"/>
    </xf>
    <xf numFmtId="0" fontId="13" fillId="11" borderId="8" xfId="0" applyFont="1" applyFill="1" applyBorder="1" applyAlignment="1">
      <alignment horizontal="right" vertical="center"/>
    </xf>
    <xf numFmtId="0" fontId="13" fillId="12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right" vertical="center"/>
    </xf>
    <xf numFmtId="0" fontId="13" fillId="12" borderId="8" xfId="0" applyFont="1" applyFill="1" applyBorder="1" applyAlignment="1">
      <alignment horizontal="right" vertical="center"/>
    </xf>
    <xf numFmtId="0" fontId="13" fillId="13" borderId="2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right" vertical="center"/>
    </xf>
    <xf numFmtId="0" fontId="13" fillId="13" borderId="8" xfId="0" applyFont="1" applyFill="1" applyBorder="1" applyAlignment="1">
      <alignment horizontal="right" vertical="center"/>
    </xf>
    <xf numFmtId="0" fontId="13" fillId="14" borderId="9" xfId="0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horizontal="center" vertical="center"/>
    </xf>
    <xf numFmtId="0" fontId="13" fillId="14" borderId="9" xfId="0" applyFont="1" applyFill="1" applyBorder="1" applyAlignment="1">
      <alignment horizontal="right" vertical="center"/>
    </xf>
    <xf numFmtId="0" fontId="13" fillId="14" borderId="1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83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30" customWidth="1"/>
    <col min="3" max="3" width="5" customWidth="1"/>
    <col min="5" max="5" width="16" customWidth="1"/>
    <col min="7" max="18" width="5" customWidth="1"/>
    <col min="21" max="22" width="15" customWidth="1"/>
  </cols>
  <sheetData>
    <row r="2" ht="40" customHeight="1" spans="1:22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11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22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4" t="s">
        <v>22</v>
      </c>
      <c r="V4" s="4" t="s">
        <v>23</v>
      </c>
    </row>
    <row r="5" spans="1:22" x14ac:dyDescent="0.25">
      <c r="A5" s="5" t="s">
        <v>24</v>
      </c>
      <c r="B5" s="6" t="s">
        <v>25</v>
      </c>
      <c r="C5" s="5" t="s">
        <v>26</v>
      </c>
      <c r="D5" s="5" t="s">
        <v>27</v>
      </c>
      <c r="E5" s="6" t="s">
        <v>28</v>
      </c>
      <c r="F5" s="6">
        <v>282</v>
      </c>
      <c r="G5" s="6" t="s">
        <v>29</v>
      </c>
      <c r="H5" s="6" t="s">
        <v>30</v>
      </c>
      <c r="I5" s="6"/>
      <c r="J5" s="6"/>
      <c r="K5" s="6"/>
      <c r="L5" s="6"/>
      <c r="M5" s="6"/>
      <c r="N5" s="6"/>
      <c r="O5" s="6"/>
      <c r="P5" s="6"/>
      <c r="Q5" s="6"/>
      <c r="R5" s="6"/>
      <c r="S5" s="5" t="s">
        <v>31</v>
      </c>
      <c r="T5" s="5" t="s">
        <v>32</v>
      </c>
      <c r="U5" s="7" t="s">
        <v>33</v>
      </c>
      <c r="V5" s="7" t="s">
        <v>34</v>
      </c>
    </row>
    <row r="6" spans="1:22" x14ac:dyDescent="0.25">
      <c r="A6" s="5" t="s">
        <v>24</v>
      </c>
      <c r="B6" s="6" t="s">
        <v>35</v>
      </c>
      <c r="C6" s="5" t="s">
        <v>26</v>
      </c>
      <c r="D6" s="5" t="s">
        <v>27</v>
      </c>
      <c r="E6" s="6" t="s">
        <v>28</v>
      </c>
      <c r="F6" s="6">
        <v>246</v>
      </c>
      <c r="G6" s="6" t="s">
        <v>36</v>
      </c>
      <c r="H6" s="6" t="s">
        <v>37</v>
      </c>
      <c r="I6" s="6"/>
      <c r="J6" s="6"/>
      <c r="K6" s="6"/>
      <c r="L6" s="6"/>
      <c r="M6" s="6"/>
      <c r="N6" s="6"/>
      <c r="O6" s="6"/>
      <c r="P6" s="6"/>
      <c r="Q6" s="6"/>
      <c r="R6" s="6"/>
      <c r="S6" s="5" t="s">
        <v>31</v>
      </c>
      <c r="T6" s="5" t="s">
        <v>32</v>
      </c>
      <c r="U6" s="7" t="s">
        <v>38</v>
      </c>
      <c r="V6" s="7" t="s">
        <v>39</v>
      </c>
    </row>
    <row r="7" spans="1:22" x14ac:dyDescent="0.25">
      <c r="A7" s="5" t="s">
        <v>24</v>
      </c>
      <c r="B7" s="6" t="s">
        <v>40</v>
      </c>
      <c r="C7" s="5" t="s">
        <v>26</v>
      </c>
      <c r="D7" s="5" t="s">
        <v>27</v>
      </c>
      <c r="E7" s="6" t="s">
        <v>28</v>
      </c>
      <c r="F7" s="6">
        <v>346</v>
      </c>
      <c r="G7" s="6" t="s">
        <v>41</v>
      </c>
      <c r="H7" s="6" t="s">
        <v>42</v>
      </c>
      <c r="I7" s="6"/>
      <c r="J7" s="6"/>
      <c r="K7" s="6"/>
      <c r="L7" s="6"/>
      <c r="M7" s="6"/>
      <c r="N7" s="6"/>
      <c r="O7" s="6"/>
      <c r="P7" s="6"/>
      <c r="Q7" s="6"/>
      <c r="R7" s="6"/>
      <c r="S7" s="5" t="s">
        <v>31</v>
      </c>
      <c r="T7" s="5" t="s">
        <v>32</v>
      </c>
      <c r="U7" s="7" t="s">
        <v>43</v>
      </c>
      <c r="V7" s="7" t="s">
        <v>44</v>
      </c>
    </row>
    <row r="8" spans="1:22" x14ac:dyDescent="0.25">
      <c r="A8" s="5" t="s">
        <v>24</v>
      </c>
      <c r="B8" s="6" t="s">
        <v>45</v>
      </c>
      <c r="C8" s="5" t="s">
        <v>26</v>
      </c>
      <c r="D8" s="5" t="s">
        <v>27</v>
      </c>
      <c r="E8" s="6" t="s">
        <v>28</v>
      </c>
      <c r="F8" s="6">
        <v>266</v>
      </c>
      <c r="G8" s="6" t="s">
        <v>46</v>
      </c>
      <c r="H8" s="6" t="s">
        <v>47</v>
      </c>
      <c r="I8" s="6"/>
      <c r="J8" s="6"/>
      <c r="K8" s="6"/>
      <c r="L8" s="6"/>
      <c r="M8" s="6"/>
      <c r="N8" s="6"/>
      <c r="O8" s="6"/>
      <c r="P8" s="6"/>
      <c r="Q8" s="6"/>
      <c r="R8" s="6"/>
      <c r="S8" s="5" t="s">
        <v>31</v>
      </c>
      <c r="T8" s="5" t="s">
        <v>32</v>
      </c>
      <c r="U8" s="7" t="s">
        <v>48</v>
      </c>
      <c r="V8" s="7" t="s">
        <v>49</v>
      </c>
    </row>
    <row r="9" spans="1:22" x14ac:dyDescent="0.25">
      <c r="A9" s="5" t="s">
        <v>24</v>
      </c>
      <c r="B9" s="6" t="s">
        <v>50</v>
      </c>
      <c r="C9" s="5" t="s">
        <v>26</v>
      </c>
      <c r="D9" s="5" t="s">
        <v>27</v>
      </c>
      <c r="E9" s="6" t="s">
        <v>28</v>
      </c>
      <c r="F9" s="6">
        <v>321</v>
      </c>
      <c r="G9" s="6" t="s">
        <v>51</v>
      </c>
      <c r="H9" s="6" t="s">
        <v>30</v>
      </c>
      <c r="I9" s="6"/>
      <c r="J9" s="6"/>
      <c r="K9" s="6"/>
      <c r="L9" s="6"/>
      <c r="M9" s="6"/>
      <c r="N9" s="6"/>
      <c r="O9" s="6"/>
      <c r="P9" s="6"/>
      <c r="Q9" s="6"/>
      <c r="R9" s="6"/>
      <c r="S9" s="5" t="s">
        <v>31</v>
      </c>
      <c r="T9" s="5" t="s">
        <v>32</v>
      </c>
      <c r="U9" s="7" t="s">
        <v>52</v>
      </c>
      <c r="V9" s="7" t="s">
        <v>53</v>
      </c>
    </row>
    <row r="10" spans="1:22" x14ac:dyDescent="0.25">
      <c r="A10" s="5" t="s">
        <v>24</v>
      </c>
      <c r="B10" s="6" t="s">
        <v>54</v>
      </c>
      <c r="C10" s="5" t="s">
        <v>26</v>
      </c>
      <c r="D10" s="5" t="s">
        <v>27</v>
      </c>
      <c r="E10" s="6" t="s">
        <v>28</v>
      </c>
      <c r="F10" s="6">
        <v>250</v>
      </c>
      <c r="G10" s="6" t="s">
        <v>55</v>
      </c>
      <c r="H10" s="6" t="s">
        <v>56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5" t="s">
        <v>31</v>
      </c>
      <c r="T10" s="5" t="s">
        <v>32</v>
      </c>
      <c r="U10" s="7" t="s">
        <v>57</v>
      </c>
      <c r="V10" s="7" t="s">
        <v>58</v>
      </c>
    </row>
    <row r="11" spans="1:22" x14ac:dyDescent="0.25">
      <c r="A11" s="5" t="s">
        <v>24</v>
      </c>
      <c r="B11" s="6" t="s">
        <v>59</v>
      </c>
      <c r="C11" s="5" t="s">
        <v>26</v>
      </c>
      <c r="D11" s="5" t="s">
        <v>27</v>
      </c>
      <c r="E11" s="6" t="s">
        <v>28</v>
      </c>
      <c r="F11" s="6">
        <v>321</v>
      </c>
      <c r="G11" s="6" t="s">
        <v>60</v>
      </c>
      <c r="H11" s="6" t="s">
        <v>61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5" t="s">
        <v>31</v>
      </c>
      <c r="T11" s="5" t="s">
        <v>32</v>
      </c>
      <c r="U11" s="7" t="s">
        <v>52</v>
      </c>
      <c r="V11" s="7" t="s">
        <v>62</v>
      </c>
    </row>
    <row r="12" spans="1:22" x14ac:dyDescent="0.25">
      <c r="A12" s="5" t="s">
        <v>24</v>
      </c>
      <c r="B12" s="6" t="s">
        <v>63</v>
      </c>
      <c r="C12" s="5" t="s">
        <v>26</v>
      </c>
      <c r="D12" s="5" t="s">
        <v>27</v>
      </c>
      <c r="E12" s="6" t="s">
        <v>28</v>
      </c>
      <c r="F12" s="6">
        <v>297</v>
      </c>
      <c r="G12" s="6" t="s">
        <v>64</v>
      </c>
      <c r="H12" s="6" t="s">
        <v>65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5" t="s">
        <v>31</v>
      </c>
      <c r="T12" s="5" t="s">
        <v>32</v>
      </c>
      <c r="U12" s="7" t="s">
        <v>66</v>
      </c>
      <c r="V12" s="7" t="s">
        <v>67</v>
      </c>
    </row>
    <row r="13" spans="1:22" x14ac:dyDescent="0.25">
      <c r="A13" s="5" t="s">
        <v>24</v>
      </c>
      <c r="B13" s="6" t="s">
        <v>68</v>
      </c>
      <c r="C13" s="5" t="s">
        <v>26</v>
      </c>
      <c r="D13" s="5" t="s">
        <v>27</v>
      </c>
      <c r="E13" s="6" t="s">
        <v>28</v>
      </c>
      <c r="F13" s="6">
        <v>228</v>
      </c>
      <c r="G13" s="6" t="s">
        <v>29</v>
      </c>
      <c r="H13" s="6" t="s">
        <v>69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5" t="s">
        <v>31</v>
      </c>
      <c r="T13" s="5" t="s">
        <v>32</v>
      </c>
      <c r="U13" s="7" t="s">
        <v>70</v>
      </c>
      <c r="V13" s="7" t="s">
        <v>71</v>
      </c>
    </row>
    <row r="14" spans="1:22" x14ac:dyDescent="0.25">
      <c r="A14" s="5" t="s">
        <v>72</v>
      </c>
      <c r="B14" s="6" t="s">
        <v>73</v>
      </c>
      <c r="C14" s="5" t="s">
        <v>26</v>
      </c>
      <c r="D14" s="5" t="s">
        <v>27</v>
      </c>
      <c r="E14" s="6" t="s">
        <v>28</v>
      </c>
      <c r="F14" s="6">
        <v>358</v>
      </c>
      <c r="G14" s="6" t="s">
        <v>74</v>
      </c>
      <c r="H14" s="6" t="s">
        <v>30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5" t="s">
        <v>31</v>
      </c>
      <c r="T14" s="5" t="s">
        <v>32</v>
      </c>
      <c r="U14" s="7" t="s">
        <v>75</v>
      </c>
      <c r="V14" s="7" t="s">
        <v>76</v>
      </c>
    </row>
    <row r="15" spans="1:22" x14ac:dyDescent="0.25">
      <c r="A15" s="5" t="s">
        <v>72</v>
      </c>
      <c r="B15" s="6" t="s">
        <v>77</v>
      </c>
      <c r="C15" s="5" t="s">
        <v>26</v>
      </c>
      <c r="D15" s="5" t="s">
        <v>27</v>
      </c>
      <c r="E15" s="6" t="s">
        <v>28</v>
      </c>
      <c r="F15" s="6">
        <v>422</v>
      </c>
      <c r="G15" s="6" t="s">
        <v>78</v>
      </c>
      <c r="H15" s="6" t="s">
        <v>79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5" t="s">
        <v>31</v>
      </c>
      <c r="T15" s="5" t="s">
        <v>32</v>
      </c>
      <c r="U15" s="7" t="s">
        <v>80</v>
      </c>
      <c r="V15" s="7" t="s">
        <v>81</v>
      </c>
    </row>
    <row r="16" spans="1:22" x14ac:dyDescent="0.25">
      <c r="A16" s="5" t="s">
        <v>72</v>
      </c>
      <c r="B16" s="6" t="s">
        <v>82</v>
      </c>
      <c r="C16" s="5" t="s">
        <v>26</v>
      </c>
      <c r="D16" s="5" t="s">
        <v>27</v>
      </c>
      <c r="E16" s="6" t="s">
        <v>83</v>
      </c>
      <c r="F16" s="6">
        <v>441</v>
      </c>
      <c r="G16" s="6" t="s">
        <v>74</v>
      </c>
      <c r="H16" s="6" t="s">
        <v>30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5" t="s">
        <v>31</v>
      </c>
      <c r="T16" s="5" t="s">
        <v>32</v>
      </c>
      <c r="U16" s="7" t="s">
        <v>84</v>
      </c>
      <c r="V16" s="7" t="s">
        <v>85</v>
      </c>
    </row>
    <row r="17" spans="1:22" x14ac:dyDescent="0.25">
      <c r="A17" s="5" t="s">
        <v>72</v>
      </c>
      <c r="B17" s="6" t="s">
        <v>86</v>
      </c>
      <c r="C17" s="5" t="s">
        <v>26</v>
      </c>
      <c r="D17" s="5" t="s">
        <v>27</v>
      </c>
      <c r="E17" s="6" t="s">
        <v>28</v>
      </c>
      <c r="F17" s="6">
        <v>304</v>
      </c>
      <c r="G17" s="6" t="s">
        <v>64</v>
      </c>
      <c r="H17" s="6" t="s">
        <v>65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5" t="s">
        <v>31</v>
      </c>
      <c r="T17" s="5" t="s">
        <v>32</v>
      </c>
      <c r="U17" s="7" t="s">
        <v>87</v>
      </c>
      <c r="V17" s="7" t="s">
        <v>39</v>
      </c>
    </row>
    <row r="18" spans="1:22" x14ac:dyDescent="0.25">
      <c r="A18" s="5" t="s">
        <v>88</v>
      </c>
      <c r="B18" s="6" t="s">
        <v>89</v>
      </c>
      <c r="C18" s="5" t="s">
        <v>26</v>
      </c>
      <c r="D18" s="5" t="s">
        <v>27</v>
      </c>
      <c r="E18" s="6" t="s">
        <v>28</v>
      </c>
      <c r="F18" s="6">
        <v>241</v>
      </c>
      <c r="G18" s="6" t="s">
        <v>90</v>
      </c>
      <c r="H18" s="6" t="s">
        <v>91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5" t="s">
        <v>31</v>
      </c>
      <c r="T18" s="5" t="s">
        <v>32</v>
      </c>
      <c r="U18" s="7" t="s">
        <v>92</v>
      </c>
      <c r="V18" s="7" t="s">
        <v>93</v>
      </c>
    </row>
    <row r="19" spans="1:22" x14ac:dyDescent="0.25">
      <c r="A19" s="5" t="s">
        <v>94</v>
      </c>
      <c r="B19" s="6" t="s">
        <v>95</v>
      </c>
      <c r="C19" s="5" t="s">
        <v>26</v>
      </c>
      <c r="D19" s="5" t="s">
        <v>27</v>
      </c>
      <c r="E19" s="6" t="s">
        <v>96</v>
      </c>
      <c r="F19" s="6">
        <v>180</v>
      </c>
      <c r="G19" s="6" t="s">
        <v>97</v>
      </c>
      <c r="H19" s="6" t="s">
        <v>98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5" t="s">
        <v>31</v>
      </c>
      <c r="T19" s="5" t="s">
        <v>32</v>
      </c>
      <c r="U19" s="7" t="s">
        <v>99</v>
      </c>
      <c r="V19" s="7" t="s">
        <v>100</v>
      </c>
    </row>
    <row r="20" spans="1:22" x14ac:dyDescent="0.25">
      <c r="A20" s="5" t="s">
        <v>94</v>
      </c>
      <c r="B20" s="6" t="s">
        <v>101</v>
      </c>
      <c r="C20" s="5" t="s">
        <v>26</v>
      </c>
      <c r="D20" s="5" t="s">
        <v>27</v>
      </c>
      <c r="E20" s="6" t="s">
        <v>28</v>
      </c>
      <c r="F20" s="6">
        <v>387</v>
      </c>
      <c r="G20" s="6" t="s">
        <v>102</v>
      </c>
      <c r="H20" s="6" t="s">
        <v>103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5" t="s">
        <v>31</v>
      </c>
      <c r="T20" s="5" t="s">
        <v>32</v>
      </c>
      <c r="U20" s="7" t="s">
        <v>104</v>
      </c>
      <c r="V20" s="7" t="s">
        <v>105</v>
      </c>
    </row>
    <row r="21" spans="1:22" x14ac:dyDescent="0.25">
      <c r="A21" s="5" t="s">
        <v>94</v>
      </c>
      <c r="B21" s="6" t="s">
        <v>106</v>
      </c>
      <c r="C21" s="5" t="s">
        <v>26</v>
      </c>
      <c r="D21" s="5" t="s">
        <v>27</v>
      </c>
      <c r="E21" s="6" t="s">
        <v>28</v>
      </c>
      <c r="F21" s="6">
        <v>268</v>
      </c>
      <c r="G21" s="6" t="s">
        <v>29</v>
      </c>
      <c r="H21" s="6" t="s">
        <v>30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5" t="s">
        <v>31</v>
      </c>
      <c r="T21" s="5" t="s">
        <v>32</v>
      </c>
      <c r="U21" s="7" t="s">
        <v>107</v>
      </c>
      <c r="V21" s="7" t="s">
        <v>108</v>
      </c>
    </row>
    <row r="22" spans="1:22" x14ac:dyDescent="0.25">
      <c r="A22" s="5" t="s">
        <v>94</v>
      </c>
      <c r="B22" s="6" t="s">
        <v>109</v>
      </c>
      <c r="C22" s="5" t="s">
        <v>26</v>
      </c>
      <c r="D22" s="5" t="s">
        <v>27</v>
      </c>
      <c r="E22" s="6" t="s">
        <v>28</v>
      </c>
      <c r="F22" s="6">
        <v>624</v>
      </c>
      <c r="G22" s="6" t="s">
        <v>110</v>
      </c>
      <c r="H22" s="6" t="s">
        <v>111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5" t="s">
        <v>31</v>
      </c>
      <c r="T22" s="5" t="s">
        <v>32</v>
      </c>
      <c r="U22" s="7" t="s">
        <v>112</v>
      </c>
      <c r="V22" s="7" t="s">
        <v>113</v>
      </c>
    </row>
    <row r="23" spans="1:22" x14ac:dyDescent="0.25">
      <c r="A23" s="5" t="s">
        <v>94</v>
      </c>
      <c r="B23" s="6" t="s">
        <v>114</v>
      </c>
      <c r="C23" s="5" t="s">
        <v>26</v>
      </c>
      <c r="D23" s="5" t="s">
        <v>27</v>
      </c>
      <c r="E23" s="6" t="s">
        <v>28</v>
      </c>
      <c r="F23" s="6">
        <v>323</v>
      </c>
      <c r="G23" s="6" t="s">
        <v>29</v>
      </c>
      <c r="H23" s="6" t="s">
        <v>30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5" t="s">
        <v>31</v>
      </c>
      <c r="T23" s="5" t="s">
        <v>32</v>
      </c>
      <c r="U23" s="7" t="s">
        <v>115</v>
      </c>
      <c r="V23" s="7" t="s">
        <v>116</v>
      </c>
    </row>
    <row r="24" spans="1:22" x14ac:dyDescent="0.25">
      <c r="A24" s="5" t="s">
        <v>117</v>
      </c>
      <c r="B24" s="6" t="s">
        <v>118</v>
      </c>
      <c r="C24" s="5" t="s">
        <v>26</v>
      </c>
      <c r="D24" s="5" t="s">
        <v>27</v>
      </c>
      <c r="E24" s="6" t="s">
        <v>28</v>
      </c>
      <c r="F24" s="6">
        <v>364</v>
      </c>
      <c r="G24" s="6" t="s">
        <v>60</v>
      </c>
      <c r="H24" s="6" t="s">
        <v>119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5" t="s">
        <v>31</v>
      </c>
      <c r="T24" s="5" t="s">
        <v>32</v>
      </c>
      <c r="U24" s="7" t="s">
        <v>120</v>
      </c>
      <c r="V24" s="7" t="s">
        <v>121</v>
      </c>
    </row>
    <row r="25" spans="1:22" x14ac:dyDescent="0.25">
      <c r="A25" s="5" t="s">
        <v>117</v>
      </c>
      <c r="B25" s="6" t="s">
        <v>122</v>
      </c>
      <c r="C25" s="5" t="s">
        <v>26</v>
      </c>
      <c r="D25" s="5" t="s">
        <v>27</v>
      </c>
      <c r="E25" s="6" t="s">
        <v>28</v>
      </c>
      <c r="F25" s="6">
        <v>225</v>
      </c>
      <c r="G25" s="6" t="s">
        <v>123</v>
      </c>
      <c r="H25" s="6" t="s">
        <v>124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5" t="s">
        <v>31</v>
      </c>
      <c r="T25" s="5" t="s">
        <v>32</v>
      </c>
      <c r="U25" s="7" t="s">
        <v>125</v>
      </c>
      <c r="V25" s="7" t="s">
        <v>126</v>
      </c>
    </row>
    <row r="26" spans="1:22" x14ac:dyDescent="0.25">
      <c r="A26" s="5" t="s">
        <v>117</v>
      </c>
      <c r="B26" s="6" t="s">
        <v>127</v>
      </c>
      <c r="C26" s="5" t="s">
        <v>26</v>
      </c>
      <c r="D26" s="5" t="s">
        <v>27</v>
      </c>
      <c r="E26" s="6" t="s">
        <v>28</v>
      </c>
      <c r="F26" s="6">
        <v>210</v>
      </c>
      <c r="G26" s="6" t="s">
        <v>128</v>
      </c>
      <c r="H26" s="6" t="s">
        <v>30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5" t="s">
        <v>31</v>
      </c>
      <c r="T26" s="5" t="s">
        <v>32</v>
      </c>
      <c r="U26" s="7" t="s">
        <v>129</v>
      </c>
      <c r="V26" s="7" t="s">
        <v>130</v>
      </c>
    </row>
    <row r="27" spans="1:22" x14ac:dyDescent="0.25">
      <c r="A27" s="5" t="s">
        <v>117</v>
      </c>
      <c r="B27" s="6" t="s">
        <v>131</v>
      </c>
      <c r="C27" s="5" t="s">
        <v>26</v>
      </c>
      <c r="D27" s="5" t="s">
        <v>27</v>
      </c>
      <c r="E27" s="6" t="s">
        <v>28</v>
      </c>
      <c r="F27" s="6">
        <v>167</v>
      </c>
      <c r="G27" s="6" t="s">
        <v>132</v>
      </c>
      <c r="H27" s="6" t="s">
        <v>133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5" t="s">
        <v>31</v>
      </c>
      <c r="T27" s="5" t="s">
        <v>32</v>
      </c>
      <c r="U27" s="7" t="s">
        <v>134</v>
      </c>
      <c r="V27" s="7" t="s">
        <v>121</v>
      </c>
    </row>
    <row r="28" spans="1:22" x14ac:dyDescent="0.25">
      <c r="A28" s="5" t="s">
        <v>117</v>
      </c>
      <c r="B28" s="6" t="s">
        <v>135</v>
      </c>
      <c r="C28" s="5" t="s">
        <v>26</v>
      </c>
      <c r="D28" s="5" t="s">
        <v>27</v>
      </c>
      <c r="E28" s="6" t="s">
        <v>28</v>
      </c>
      <c r="F28" s="6">
        <v>258</v>
      </c>
      <c r="G28" s="6" t="s">
        <v>136</v>
      </c>
      <c r="H28" s="6" t="s">
        <v>137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5" t="s">
        <v>31</v>
      </c>
      <c r="T28" s="5" t="s">
        <v>32</v>
      </c>
      <c r="U28" s="7" t="s">
        <v>138</v>
      </c>
      <c r="V28" s="7" t="s">
        <v>139</v>
      </c>
    </row>
    <row r="29" spans="1:22" x14ac:dyDescent="0.25">
      <c r="A29" s="5" t="s">
        <v>140</v>
      </c>
      <c r="B29" s="6" t="s">
        <v>141</v>
      </c>
      <c r="C29" s="5" t="s">
        <v>26</v>
      </c>
      <c r="D29" s="5" t="s">
        <v>27</v>
      </c>
      <c r="E29" s="6" t="s">
        <v>28</v>
      </c>
      <c r="F29" s="6">
        <v>213</v>
      </c>
      <c r="G29" s="6" t="s">
        <v>111</v>
      </c>
      <c r="H29" s="6" t="s">
        <v>91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5" t="s">
        <v>31</v>
      </c>
      <c r="T29" s="5" t="s">
        <v>32</v>
      </c>
      <c r="U29" s="7" t="s">
        <v>142</v>
      </c>
      <c r="V29" s="7" t="s">
        <v>143</v>
      </c>
    </row>
    <row r="30" spans="1:22" x14ac:dyDescent="0.25">
      <c r="A30" s="5" t="s">
        <v>140</v>
      </c>
      <c r="B30" s="6" t="s">
        <v>144</v>
      </c>
      <c r="C30" s="5" t="s">
        <v>26</v>
      </c>
      <c r="D30" s="5" t="s">
        <v>27</v>
      </c>
      <c r="E30" s="6" t="s">
        <v>28</v>
      </c>
      <c r="F30" s="6">
        <v>373</v>
      </c>
      <c r="G30" s="6" t="s">
        <v>64</v>
      </c>
      <c r="H30" s="6" t="s">
        <v>145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5" t="s">
        <v>31</v>
      </c>
      <c r="T30" s="5" t="s">
        <v>32</v>
      </c>
      <c r="U30" s="7" t="s">
        <v>146</v>
      </c>
      <c r="V30" s="7" t="s">
        <v>147</v>
      </c>
    </row>
    <row r="31" spans="1:22" x14ac:dyDescent="0.25">
      <c r="A31" s="8">
        <f>COUNTA(B5:B30)</f>
      </c>
      <c r="B31" s="9" t="s">
        <v>148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">
        <v>149</v>
      </c>
      <c r="T31" s="9">
        <f>COUNTA(T5:T30)</f>
      </c>
      <c r="U31" s="10" t="s">
        <v>150</v>
      </c>
      <c r="V31" s="11" t="s">
        <v>151</v>
      </c>
    </row>
    <row r="32" spans="1:22" x14ac:dyDescent="0.25">
      <c r="A32" s="5" t="s">
        <v>24</v>
      </c>
      <c r="B32" s="6" t="s">
        <v>152</v>
      </c>
      <c r="C32" s="5" t="s">
        <v>153</v>
      </c>
      <c r="D32" s="5" t="s">
        <v>27</v>
      </c>
      <c r="E32" s="6" t="s">
        <v>154</v>
      </c>
      <c r="F32" s="12">
        <v>197</v>
      </c>
      <c r="G32" s="6" t="s">
        <v>155</v>
      </c>
      <c r="H32" s="6" t="s">
        <v>37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13">
        <v>2</v>
      </c>
      <c r="T32" s="13">
        <v>1</v>
      </c>
      <c r="U32" s="14">
        <v>394</v>
      </c>
      <c r="V32" s="7">
        <v>14</v>
      </c>
    </row>
    <row r="33" spans="1:22" x14ac:dyDescent="0.25">
      <c r="A33" s="5" t="s">
        <v>24</v>
      </c>
      <c r="B33" s="6"/>
      <c r="C33" s="5" t="s">
        <v>153</v>
      </c>
      <c r="D33" s="5" t="s">
        <v>156</v>
      </c>
      <c r="E33" s="6" t="s">
        <v>154</v>
      </c>
      <c r="F33" s="12">
        <v>197</v>
      </c>
      <c r="G33" s="6" t="s">
        <v>157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13">
        <v>1</v>
      </c>
      <c r="T33" s="13"/>
      <c r="U33" s="14">
        <v>197</v>
      </c>
      <c r="V33" s="7">
        <v>2</v>
      </c>
    </row>
    <row r="34" spans="1:22" x14ac:dyDescent="0.25">
      <c r="A34" s="5" t="s">
        <v>24</v>
      </c>
      <c r="B34" s="6" t="s">
        <v>158</v>
      </c>
      <c r="C34" s="5" t="s">
        <v>153</v>
      </c>
      <c r="D34" s="5" t="s">
        <v>156</v>
      </c>
      <c r="E34" s="6" t="s">
        <v>159</v>
      </c>
      <c r="F34" s="12">
        <v>183</v>
      </c>
      <c r="G34" s="6" t="s">
        <v>111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13">
        <v>1</v>
      </c>
      <c r="T34" s="13">
        <v>1</v>
      </c>
      <c r="U34" s="14">
        <v>183</v>
      </c>
      <c r="V34" s="7">
        <v>42</v>
      </c>
    </row>
    <row r="35" spans="1:22" x14ac:dyDescent="0.25">
      <c r="A35" s="5" t="s">
        <v>24</v>
      </c>
      <c r="B35" s="6"/>
      <c r="C35" s="5" t="s">
        <v>153</v>
      </c>
      <c r="D35" s="5" t="s">
        <v>27</v>
      </c>
      <c r="E35" s="6" t="s">
        <v>159</v>
      </c>
      <c r="F35" s="12">
        <v>183</v>
      </c>
      <c r="G35" s="6" t="s">
        <v>160</v>
      </c>
      <c r="H35" s="6" t="s">
        <v>161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13">
        <v>2</v>
      </c>
      <c r="T35" s="13"/>
      <c r="U35" s="14">
        <v>366</v>
      </c>
      <c r="V35" s="7">
        <v>15</v>
      </c>
    </row>
    <row r="36" spans="1:22" x14ac:dyDescent="0.25">
      <c r="A36" s="5" t="s">
        <v>24</v>
      </c>
      <c r="B36" s="6" t="s">
        <v>162</v>
      </c>
      <c r="C36" s="5" t="s">
        <v>153</v>
      </c>
      <c r="D36" s="5" t="s">
        <v>27</v>
      </c>
      <c r="E36" s="6" t="s">
        <v>163</v>
      </c>
      <c r="F36" s="12">
        <v>265</v>
      </c>
      <c r="G36" s="6" t="s">
        <v>155</v>
      </c>
      <c r="H36" s="6" t="s">
        <v>98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13">
        <v>2</v>
      </c>
      <c r="T36" s="13">
        <v>1</v>
      </c>
      <c r="U36" s="14">
        <v>530</v>
      </c>
      <c r="V36" s="7">
        <v>27</v>
      </c>
    </row>
    <row r="37" spans="1:22" x14ac:dyDescent="0.25">
      <c r="A37" s="5" t="s">
        <v>24</v>
      </c>
      <c r="B37" s="6"/>
      <c r="C37" s="5" t="s">
        <v>153</v>
      </c>
      <c r="D37" s="5" t="s">
        <v>156</v>
      </c>
      <c r="E37" s="6" t="s">
        <v>163</v>
      </c>
      <c r="F37" s="12">
        <v>265</v>
      </c>
      <c r="G37" s="6" t="s">
        <v>132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13">
        <v>1</v>
      </c>
      <c r="T37" s="13"/>
      <c r="U37" s="14">
        <v>265</v>
      </c>
      <c r="V37" s="7">
        <v>9</v>
      </c>
    </row>
    <row r="38" spans="1:22" x14ac:dyDescent="0.25">
      <c r="A38" s="5" t="s">
        <v>24</v>
      </c>
      <c r="B38" s="6" t="s">
        <v>164</v>
      </c>
      <c r="C38" s="5" t="s">
        <v>153</v>
      </c>
      <c r="D38" s="5" t="s">
        <v>156</v>
      </c>
      <c r="E38" s="6" t="s">
        <v>165</v>
      </c>
      <c r="F38" s="12">
        <v>66</v>
      </c>
      <c r="G38" s="6" t="s">
        <v>166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13">
        <v>1</v>
      </c>
      <c r="T38" s="13">
        <v>1</v>
      </c>
      <c r="U38" s="14">
        <v>66</v>
      </c>
      <c r="V38" s="7">
        <v>64</v>
      </c>
    </row>
    <row r="39" spans="1:22" x14ac:dyDescent="0.25">
      <c r="A39" s="5" t="s">
        <v>24</v>
      </c>
      <c r="B39" s="6"/>
      <c r="C39" s="5" t="s">
        <v>153</v>
      </c>
      <c r="D39" s="5" t="s">
        <v>27</v>
      </c>
      <c r="E39" s="6" t="s">
        <v>165</v>
      </c>
      <c r="F39" s="12">
        <v>66</v>
      </c>
      <c r="G39" s="6" t="s">
        <v>47</v>
      </c>
      <c r="H39" s="6" t="s">
        <v>167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13">
        <v>2</v>
      </c>
      <c r="T39" s="13"/>
      <c r="U39" s="14">
        <v>132</v>
      </c>
      <c r="V39" s="7">
        <v>42</v>
      </c>
    </row>
    <row r="40" spans="1:22" x14ac:dyDescent="0.25">
      <c r="A40" s="5" t="s">
        <v>24</v>
      </c>
      <c r="B40" s="6" t="s">
        <v>168</v>
      </c>
      <c r="C40" s="5" t="s">
        <v>153</v>
      </c>
      <c r="D40" s="5" t="s">
        <v>27</v>
      </c>
      <c r="E40" s="6" t="s">
        <v>169</v>
      </c>
      <c r="F40" s="12">
        <v>232</v>
      </c>
      <c r="G40" s="6" t="s">
        <v>170</v>
      </c>
      <c r="H40" s="6" t="s">
        <v>171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13">
        <v>2</v>
      </c>
      <c r="T40" s="13">
        <v>1</v>
      </c>
      <c r="U40" s="14">
        <v>464</v>
      </c>
      <c r="V40" s="7">
        <v>58</v>
      </c>
    </row>
    <row r="41" spans="1:22" x14ac:dyDescent="0.25">
      <c r="A41" s="5" t="s">
        <v>24</v>
      </c>
      <c r="B41" s="6"/>
      <c r="C41" s="5" t="s">
        <v>153</v>
      </c>
      <c r="D41" s="5" t="s">
        <v>156</v>
      </c>
      <c r="E41" s="6" t="s">
        <v>169</v>
      </c>
      <c r="F41" s="12">
        <v>232</v>
      </c>
      <c r="G41" s="6" t="s">
        <v>172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13">
        <v>1</v>
      </c>
      <c r="T41" s="13"/>
      <c r="U41" s="14">
        <v>232</v>
      </c>
      <c r="V41" s="7">
        <v>26</v>
      </c>
    </row>
    <row r="42" spans="1:22" x14ac:dyDescent="0.25">
      <c r="A42" s="5" t="s">
        <v>72</v>
      </c>
      <c r="B42" s="6" t="s">
        <v>173</v>
      </c>
      <c r="C42" s="5" t="s">
        <v>153</v>
      </c>
      <c r="D42" s="5" t="s">
        <v>27</v>
      </c>
      <c r="E42" s="6" t="s">
        <v>174</v>
      </c>
      <c r="F42" s="12">
        <v>305</v>
      </c>
      <c r="G42" s="6" t="s">
        <v>123</v>
      </c>
      <c r="H42" s="6" t="s">
        <v>103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13">
        <v>2</v>
      </c>
      <c r="T42" s="13">
        <v>1</v>
      </c>
      <c r="U42" s="14">
        <v>610</v>
      </c>
      <c r="V42" s="7">
        <v>48</v>
      </c>
    </row>
    <row r="43" spans="1:22" x14ac:dyDescent="0.25">
      <c r="A43" s="5" t="s">
        <v>72</v>
      </c>
      <c r="B43" s="6"/>
      <c r="C43" s="5" t="s">
        <v>153</v>
      </c>
      <c r="D43" s="5" t="s">
        <v>156</v>
      </c>
      <c r="E43" s="6" t="s">
        <v>174</v>
      </c>
      <c r="F43" s="12">
        <v>305</v>
      </c>
      <c r="G43" s="6" t="s">
        <v>175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13">
        <v>1</v>
      </c>
      <c r="T43" s="13"/>
      <c r="U43" s="14">
        <v>305</v>
      </c>
      <c r="V43" s="7">
        <v>12</v>
      </c>
    </row>
    <row r="44" spans="1:22" x14ac:dyDescent="0.25">
      <c r="A44" s="5" t="s">
        <v>72</v>
      </c>
      <c r="B44" s="6" t="s">
        <v>176</v>
      </c>
      <c r="C44" s="5" t="s">
        <v>153</v>
      </c>
      <c r="D44" s="5" t="s">
        <v>27</v>
      </c>
      <c r="E44" s="6" t="s">
        <v>165</v>
      </c>
      <c r="F44" s="12">
        <v>133</v>
      </c>
      <c r="G44" s="6" t="s">
        <v>123</v>
      </c>
      <c r="H44" s="6" t="s">
        <v>103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13">
        <v>2</v>
      </c>
      <c r="T44" s="13">
        <v>1</v>
      </c>
      <c r="U44" s="14">
        <v>266</v>
      </c>
      <c r="V44" s="7">
        <v>110</v>
      </c>
    </row>
    <row r="45" spans="1:22" x14ac:dyDescent="0.25">
      <c r="A45" s="5" t="s">
        <v>72</v>
      </c>
      <c r="B45" s="6"/>
      <c r="C45" s="5" t="s">
        <v>153</v>
      </c>
      <c r="D45" s="5" t="s">
        <v>156</v>
      </c>
      <c r="E45" s="6" t="s">
        <v>165</v>
      </c>
      <c r="F45" s="12">
        <v>133</v>
      </c>
      <c r="G45" s="6" t="s">
        <v>175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13">
        <v>1</v>
      </c>
      <c r="T45" s="13"/>
      <c r="U45" s="14">
        <v>133</v>
      </c>
      <c r="V45" s="7">
        <v>36</v>
      </c>
    </row>
    <row r="46" spans="1:22" x14ac:dyDescent="0.25">
      <c r="A46" s="5" t="s">
        <v>88</v>
      </c>
      <c r="B46" s="6" t="s">
        <v>177</v>
      </c>
      <c r="C46" s="5" t="s">
        <v>153</v>
      </c>
      <c r="D46" s="5" t="s">
        <v>27</v>
      </c>
      <c r="E46" s="6" t="s">
        <v>178</v>
      </c>
      <c r="F46" s="12">
        <v>80</v>
      </c>
      <c r="G46" s="6" t="s">
        <v>179</v>
      </c>
      <c r="H46" s="6" t="s">
        <v>180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13">
        <v>2</v>
      </c>
      <c r="T46" s="13">
        <v>1</v>
      </c>
      <c r="U46" s="14">
        <v>160</v>
      </c>
      <c r="V46" s="7">
        <v>90</v>
      </c>
    </row>
    <row r="47" spans="1:22" x14ac:dyDescent="0.25">
      <c r="A47" s="5" t="s">
        <v>88</v>
      </c>
      <c r="B47" s="6"/>
      <c r="C47" s="5" t="s">
        <v>153</v>
      </c>
      <c r="D47" s="5" t="s">
        <v>156</v>
      </c>
      <c r="E47" s="6" t="s">
        <v>178</v>
      </c>
      <c r="F47" s="12">
        <v>80</v>
      </c>
      <c r="G47" s="6" t="s">
        <v>181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13">
        <v>1</v>
      </c>
      <c r="T47" s="13"/>
      <c r="U47" s="14">
        <v>80</v>
      </c>
      <c r="V47" s="7">
        <v>47</v>
      </c>
    </row>
    <row r="48" spans="1:22" x14ac:dyDescent="0.25">
      <c r="A48" s="5" t="s">
        <v>94</v>
      </c>
      <c r="B48" s="6" t="s">
        <v>182</v>
      </c>
      <c r="C48" s="5" t="s">
        <v>153</v>
      </c>
      <c r="D48" s="5" t="s">
        <v>27</v>
      </c>
      <c r="E48" s="6" t="s">
        <v>174</v>
      </c>
      <c r="F48" s="12">
        <v>192</v>
      </c>
      <c r="G48" s="6" t="s">
        <v>183</v>
      </c>
      <c r="H48" s="6" t="s">
        <v>171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13">
        <v>2</v>
      </c>
      <c r="T48" s="13">
        <v>1</v>
      </c>
      <c r="U48" s="14">
        <v>384</v>
      </c>
      <c r="V48" s="7">
        <v>79</v>
      </c>
    </row>
    <row r="49" spans="1:22" x14ac:dyDescent="0.25">
      <c r="A49" s="5" t="s">
        <v>94</v>
      </c>
      <c r="B49" s="6"/>
      <c r="C49" s="5" t="s">
        <v>153</v>
      </c>
      <c r="D49" s="5" t="s">
        <v>156</v>
      </c>
      <c r="E49" s="6" t="s">
        <v>174</v>
      </c>
      <c r="F49" s="12">
        <v>192</v>
      </c>
      <c r="G49" s="6" t="s">
        <v>184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13">
        <v>1</v>
      </c>
      <c r="T49" s="13"/>
      <c r="U49" s="14">
        <v>192</v>
      </c>
      <c r="V49" s="7">
        <v>21</v>
      </c>
    </row>
    <row r="50" spans="1:22" x14ac:dyDescent="0.25">
      <c r="A50" s="5" t="s">
        <v>94</v>
      </c>
      <c r="B50" s="6" t="s">
        <v>185</v>
      </c>
      <c r="C50" s="5" t="s">
        <v>153</v>
      </c>
      <c r="D50" s="5" t="s">
        <v>27</v>
      </c>
      <c r="E50" s="6" t="s">
        <v>169</v>
      </c>
      <c r="F50" s="12">
        <v>227</v>
      </c>
      <c r="G50" s="6" t="s">
        <v>186</v>
      </c>
      <c r="H50" s="6" t="s">
        <v>56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13">
        <v>2</v>
      </c>
      <c r="T50" s="13">
        <v>1</v>
      </c>
      <c r="U50" s="14">
        <v>454</v>
      </c>
      <c r="V50" s="7">
        <v>56</v>
      </c>
    </row>
    <row r="51" spans="1:22" x14ac:dyDescent="0.25">
      <c r="A51" s="5" t="s">
        <v>94</v>
      </c>
      <c r="B51" s="6"/>
      <c r="C51" s="5" t="s">
        <v>153</v>
      </c>
      <c r="D51" s="5" t="s">
        <v>156</v>
      </c>
      <c r="E51" s="6" t="s">
        <v>169</v>
      </c>
      <c r="F51" s="12">
        <v>227</v>
      </c>
      <c r="G51" s="6" t="s">
        <v>187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13">
        <v>1</v>
      </c>
      <c r="T51" s="13"/>
      <c r="U51" s="14">
        <v>227</v>
      </c>
      <c r="V51" s="7">
        <v>16</v>
      </c>
    </row>
    <row r="52" spans="1:22" x14ac:dyDescent="0.25">
      <c r="A52" s="5" t="s">
        <v>94</v>
      </c>
      <c r="B52" s="6" t="s">
        <v>188</v>
      </c>
      <c r="C52" s="5" t="s">
        <v>153</v>
      </c>
      <c r="D52" s="5" t="s">
        <v>156</v>
      </c>
      <c r="E52" s="6" t="s">
        <v>189</v>
      </c>
      <c r="F52" s="12">
        <v>156</v>
      </c>
      <c r="G52" s="6" t="s">
        <v>155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13">
        <v>1</v>
      </c>
      <c r="T52" s="13">
        <v>1</v>
      </c>
      <c r="U52" s="14">
        <v>156</v>
      </c>
      <c r="V52" s="7">
        <v>14</v>
      </c>
    </row>
    <row r="53" spans="1:22" x14ac:dyDescent="0.25">
      <c r="A53" s="5" t="s">
        <v>94</v>
      </c>
      <c r="B53" s="6"/>
      <c r="C53" s="5" t="s">
        <v>153</v>
      </c>
      <c r="D53" s="5" t="s">
        <v>27</v>
      </c>
      <c r="E53" s="6" t="s">
        <v>189</v>
      </c>
      <c r="F53" s="12">
        <v>156</v>
      </c>
      <c r="G53" s="6" t="s">
        <v>132</v>
      </c>
      <c r="H53" s="6" t="s">
        <v>98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13">
        <v>2</v>
      </c>
      <c r="T53" s="13"/>
      <c r="U53" s="14">
        <v>312</v>
      </c>
      <c r="V53" s="7">
        <v>20</v>
      </c>
    </row>
    <row r="54" spans="1:22" x14ac:dyDescent="0.25">
      <c r="A54" s="5" t="s">
        <v>94</v>
      </c>
      <c r="B54" s="6" t="s">
        <v>190</v>
      </c>
      <c r="C54" s="5" t="s">
        <v>153</v>
      </c>
      <c r="D54" s="5" t="s">
        <v>27</v>
      </c>
      <c r="E54" s="6" t="s">
        <v>165</v>
      </c>
      <c r="F54" s="12">
        <v>109</v>
      </c>
      <c r="G54" s="6" t="s">
        <v>90</v>
      </c>
      <c r="H54" s="6" t="s">
        <v>191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13">
        <v>2</v>
      </c>
      <c r="T54" s="13">
        <v>1</v>
      </c>
      <c r="U54" s="14">
        <v>218</v>
      </c>
      <c r="V54" s="7">
        <v>70</v>
      </c>
    </row>
    <row r="55" spans="1:22" x14ac:dyDescent="0.25">
      <c r="A55" s="5" t="s">
        <v>94</v>
      </c>
      <c r="B55" s="6"/>
      <c r="C55" s="5" t="s">
        <v>153</v>
      </c>
      <c r="D55" s="5" t="s">
        <v>156</v>
      </c>
      <c r="E55" s="6" t="s">
        <v>165</v>
      </c>
      <c r="F55" s="12">
        <v>109</v>
      </c>
      <c r="G55" s="6" t="s">
        <v>61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13">
        <v>1</v>
      </c>
      <c r="T55" s="13"/>
      <c r="U55" s="14">
        <v>109</v>
      </c>
      <c r="V55" s="7">
        <v>21</v>
      </c>
    </row>
    <row r="56" spans="1:22" x14ac:dyDescent="0.25">
      <c r="A56" s="5" t="s">
        <v>94</v>
      </c>
      <c r="B56" s="6" t="s">
        <v>192</v>
      </c>
      <c r="C56" s="5" t="s">
        <v>153</v>
      </c>
      <c r="D56" s="5" t="s">
        <v>27</v>
      </c>
      <c r="E56" s="6" t="s">
        <v>174</v>
      </c>
      <c r="F56" s="12">
        <v>268</v>
      </c>
      <c r="G56" s="6" t="s">
        <v>193</v>
      </c>
      <c r="H56" s="6" t="s">
        <v>103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13">
        <v>2</v>
      </c>
      <c r="T56" s="13">
        <v>1</v>
      </c>
      <c r="U56" s="14">
        <v>536</v>
      </c>
      <c r="V56" s="7">
        <v>212</v>
      </c>
    </row>
    <row r="57" spans="1:22" x14ac:dyDescent="0.25">
      <c r="A57" s="5" t="s">
        <v>94</v>
      </c>
      <c r="B57" s="6"/>
      <c r="C57" s="5" t="s">
        <v>153</v>
      </c>
      <c r="D57" s="5" t="s">
        <v>156</v>
      </c>
      <c r="E57" s="6" t="s">
        <v>174</v>
      </c>
      <c r="F57" s="12">
        <v>268</v>
      </c>
      <c r="G57" s="6" t="s">
        <v>194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13">
        <v>1</v>
      </c>
      <c r="T57" s="13"/>
      <c r="U57" s="14">
        <v>268</v>
      </c>
      <c r="V57" s="7">
        <v>61</v>
      </c>
    </row>
    <row r="58" spans="1:22" x14ac:dyDescent="0.25">
      <c r="A58" s="5" t="s">
        <v>94</v>
      </c>
      <c r="B58" s="6" t="s">
        <v>195</v>
      </c>
      <c r="C58" s="5" t="s">
        <v>153</v>
      </c>
      <c r="D58" s="5" t="s">
        <v>156</v>
      </c>
      <c r="E58" s="6" t="s">
        <v>189</v>
      </c>
      <c r="F58" s="12">
        <v>240</v>
      </c>
      <c r="G58" s="6" t="s">
        <v>196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13">
        <v>1</v>
      </c>
      <c r="T58" s="13">
        <v>1</v>
      </c>
      <c r="U58" s="14">
        <v>240</v>
      </c>
      <c r="V58" s="7">
        <v>21</v>
      </c>
    </row>
    <row r="59" spans="1:22" x14ac:dyDescent="0.25">
      <c r="A59" s="5" t="s">
        <v>94</v>
      </c>
      <c r="B59" s="6"/>
      <c r="C59" s="5" t="s">
        <v>153</v>
      </c>
      <c r="D59" s="5" t="s">
        <v>27</v>
      </c>
      <c r="E59" s="6" t="s">
        <v>189</v>
      </c>
      <c r="F59" s="12">
        <v>240</v>
      </c>
      <c r="G59" s="6" t="s">
        <v>197</v>
      </c>
      <c r="H59" s="6" t="s">
        <v>198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13">
        <v>2</v>
      </c>
      <c r="T59" s="13"/>
      <c r="U59" s="14">
        <v>480</v>
      </c>
      <c r="V59" s="7">
        <v>18</v>
      </c>
    </row>
    <row r="60" spans="1:22" x14ac:dyDescent="0.25">
      <c r="A60" s="5" t="s">
        <v>94</v>
      </c>
      <c r="B60" s="6" t="s">
        <v>199</v>
      </c>
      <c r="C60" s="5" t="s">
        <v>153</v>
      </c>
      <c r="D60" s="5" t="s">
        <v>27</v>
      </c>
      <c r="E60" s="6" t="s">
        <v>174</v>
      </c>
      <c r="F60" s="12">
        <v>310</v>
      </c>
      <c r="G60" s="6" t="s">
        <v>170</v>
      </c>
      <c r="H60" s="6" t="s">
        <v>171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13">
        <v>2</v>
      </c>
      <c r="T60" s="13">
        <v>1</v>
      </c>
      <c r="U60" s="14">
        <v>620</v>
      </c>
      <c r="V60" s="7">
        <v>78</v>
      </c>
    </row>
    <row r="61" spans="1:22" x14ac:dyDescent="0.25">
      <c r="A61" s="5" t="s">
        <v>94</v>
      </c>
      <c r="B61" s="6"/>
      <c r="C61" s="5" t="s">
        <v>153</v>
      </c>
      <c r="D61" s="5" t="s">
        <v>156</v>
      </c>
      <c r="E61" s="6" t="s">
        <v>174</v>
      </c>
      <c r="F61" s="12">
        <v>310</v>
      </c>
      <c r="G61" s="6" t="s">
        <v>172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13">
        <v>1</v>
      </c>
      <c r="T61" s="13"/>
      <c r="U61" s="14">
        <v>310</v>
      </c>
      <c r="V61" s="7">
        <v>20</v>
      </c>
    </row>
    <row r="62" spans="1:22" x14ac:dyDescent="0.25">
      <c r="A62" s="5" t="s">
        <v>94</v>
      </c>
      <c r="B62" s="6" t="s">
        <v>200</v>
      </c>
      <c r="C62" s="5" t="s">
        <v>153</v>
      </c>
      <c r="D62" s="5" t="s">
        <v>27</v>
      </c>
      <c r="E62" s="6" t="s">
        <v>174</v>
      </c>
      <c r="F62" s="12">
        <v>187</v>
      </c>
      <c r="G62" s="6" t="s">
        <v>123</v>
      </c>
      <c r="H62" s="6" t="s">
        <v>180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13">
        <v>2</v>
      </c>
      <c r="T62" s="13">
        <v>1</v>
      </c>
      <c r="U62" s="14">
        <v>374</v>
      </c>
      <c r="V62" s="7">
        <v>202</v>
      </c>
    </row>
    <row r="63" spans="1:22" x14ac:dyDescent="0.25">
      <c r="A63" s="5" t="s">
        <v>94</v>
      </c>
      <c r="B63" s="6"/>
      <c r="C63" s="5" t="s">
        <v>153</v>
      </c>
      <c r="D63" s="5" t="s">
        <v>156</v>
      </c>
      <c r="E63" s="6" t="s">
        <v>174</v>
      </c>
      <c r="F63" s="12">
        <v>187</v>
      </c>
      <c r="G63" s="6" t="s">
        <v>181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13">
        <v>1</v>
      </c>
      <c r="T63" s="13"/>
      <c r="U63" s="14">
        <v>187</v>
      </c>
      <c r="V63" s="7">
        <v>61</v>
      </c>
    </row>
    <row r="64" spans="1:22" x14ac:dyDescent="0.25">
      <c r="A64" s="5" t="s">
        <v>117</v>
      </c>
      <c r="B64" s="6" t="s">
        <v>201</v>
      </c>
      <c r="C64" s="5" t="s">
        <v>153</v>
      </c>
      <c r="D64" s="5" t="s">
        <v>156</v>
      </c>
      <c r="E64" s="6" t="s">
        <v>165</v>
      </c>
      <c r="F64" s="6">
        <v>150</v>
      </c>
      <c r="G64" s="6" t="s">
        <v>202</v>
      </c>
      <c r="H64" s="6" t="s">
        <v>172</v>
      </c>
      <c r="I64" s="6" t="s">
        <v>191</v>
      </c>
      <c r="J64" s="6"/>
      <c r="K64" s="6"/>
      <c r="L64" s="6"/>
      <c r="M64" s="6"/>
      <c r="N64" s="6"/>
      <c r="O64" s="6"/>
      <c r="P64" s="6"/>
      <c r="Q64" s="6"/>
      <c r="R64" s="6"/>
      <c r="S64" s="5" t="s">
        <v>203</v>
      </c>
      <c r="T64" s="5" t="s">
        <v>32</v>
      </c>
      <c r="U64" s="7" t="s">
        <v>125</v>
      </c>
      <c r="V64" s="7" t="s">
        <v>62</v>
      </c>
    </row>
    <row r="65" spans="1:22" x14ac:dyDescent="0.25">
      <c r="A65" s="5" t="s">
        <v>140</v>
      </c>
      <c r="B65" s="6" t="s">
        <v>204</v>
      </c>
      <c r="C65" s="5" t="s">
        <v>153</v>
      </c>
      <c r="D65" s="5" t="s">
        <v>27</v>
      </c>
      <c r="E65" s="6" t="s">
        <v>154</v>
      </c>
      <c r="F65" s="12">
        <v>282</v>
      </c>
      <c r="G65" s="6" t="s">
        <v>205</v>
      </c>
      <c r="H65" s="6" t="s">
        <v>37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13">
        <v>2</v>
      </c>
      <c r="T65" s="13">
        <v>1</v>
      </c>
      <c r="U65" s="14">
        <v>564</v>
      </c>
      <c r="V65" s="7">
        <v>16</v>
      </c>
    </row>
    <row r="66" spans="1:22" x14ac:dyDescent="0.25">
      <c r="A66" s="5" t="s">
        <v>140</v>
      </c>
      <c r="B66" s="6"/>
      <c r="C66" s="5" t="s">
        <v>153</v>
      </c>
      <c r="D66" s="5" t="s">
        <v>156</v>
      </c>
      <c r="E66" s="6" t="s">
        <v>154</v>
      </c>
      <c r="F66" s="12">
        <v>282</v>
      </c>
      <c r="G66" s="6" t="s">
        <v>91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13">
        <v>1</v>
      </c>
      <c r="T66" s="13"/>
      <c r="U66" s="14">
        <v>282</v>
      </c>
      <c r="V66" s="7">
        <v>7</v>
      </c>
    </row>
    <row r="67" spans="1:22" x14ac:dyDescent="0.25">
      <c r="A67" s="5" t="s">
        <v>140</v>
      </c>
      <c r="B67" s="6" t="s">
        <v>206</v>
      </c>
      <c r="C67" s="5" t="s">
        <v>153</v>
      </c>
      <c r="D67" s="5" t="s">
        <v>27</v>
      </c>
      <c r="E67" s="6" t="s">
        <v>165</v>
      </c>
      <c r="F67" s="12">
        <v>215</v>
      </c>
      <c r="G67" s="6" t="s">
        <v>155</v>
      </c>
      <c r="H67" s="6" t="s">
        <v>98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13">
        <v>2</v>
      </c>
      <c r="T67" s="13">
        <v>1</v>
      </c>
      <c r="U67" s="14">
        <v>430</v>
      </c>
      <c r="V67" s="7">
        <v>19</v>
      </c>
    </row>
    <row r="68" spans="1:22" x14ac:dyDescent="0.25">
      <c r="A68" s="5" t="s">
        <v>140</v>
      </c>
      <c r="B68" s="6"/>
      <c r="C68" s="5" t="s">
        <v>153</v>
      </c>
      <c r="D68" s="5" t="s">
        <v>156</v>
      </c>
      <c r="E68" s="6" t="s">
        <v>165</v>
      </c>
      <c r="F68" s="12">
        <v>215</v>
      </c>
      <c r="G68" s="6" t="s">
        <v>132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13">
        <v>1</v>
      </c>
      <c r="T68" s="13"/>
      <c r="U68" s="14">
        <v>215</v>
      </c>
      <c r="V68" s="7">
        <v>8</v>
      </c>
    </row>
    <row r="69" spans="1:22" x14ac:dyDescent="0.25">
      <c r="A69" s="8">
        <f>COUNTA(B32:B68)</f>
      </c>
      <c r="B69" s="9" t="s">
        <v>207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 t="s">
        <v>208</v>
      </c>
      <c r="T69" s="9">
        <f>COUNTA(T32:T68)</f>
      </c>
      <c r="U69" s="10" t="s">
        <v>209</v>
      </c>
      <c r="V69" s="11" t="s">
        <v>210</v>
      </c>
    </row>
    <row r="70" spans="1:22" x14ac:dyDescent="0.25">
      <c r="A70" s="5" t="s">
        <v>24</v>
      </c>
      <c r="B70" s="6" t="s">
        <v>211</v>
      </c>
      <c r="C70" s="5" t="s">
        <v>153</v>
      </c>
      <c r="D70" s="5" t="s">
        <v>27</v>
      </c>
      <c r="E70" s="6" t="s">
        <v>212</v>
      </c>
      <c r="F70" s="6">
        <v>218</v>
      </c>
      <c r="G70" s="6" t="s">
        <v>29</v>
      </c>
      <c r="H70" s="6" t="s">
        <v>191</v>
      </c>
      <c r="I70" s="6" t="s">
        <v>213</v>
      </c>
      <c r="J70" s="6"/>
      <c r="K70" s="6"/>
      <c r="L70" s="6"/>
      <c r="M70" s="6"/>
      <c r="N70" s="6"/>
      <c r="O70" s="6"/>
      <c r="P70" s="6"/>
      <c r="Q70" s="6"/>
      <c r="R70" s="6"/>
      <c r="S70" s="5" t="s">
        <v>203</v>
      </c>
      <c r="T70" s="5" t="s">
        <v>32</v>
      </c>
      <c r="U70" s="7" t="s">
        <v>214</v>
      </c>
      <c r="V70" s="7" t="s">
        <v>215</v>
      </c>
    </row>
    <row r="71" spans="1:22" x14ac:dyDescent="0.25">
      <c r="A71" s="5" t="s">
        <v>24</v>
      </c>
      <c r="B71" s="6" t="s">
        <v>216</v>
      </c>
      <c r="C71" s="5" t="s">
        <v>153</v>
      </c>
      <c r="D71" s="5" t="s">
        <v>27</v>
      </c>
      <c r="E71" s="6" t="s">
        <v>217</v>
      </c>
      <c r="F71" s="6">
        <v>290</v>
      </c>
      <c r="G71" s="6" t="s">
        <v>166</v>
      </c>
      <c r="H71" s="6" t="s">
        <v>218</v>
      </c>
      <c r="I71" s="6" t="s">
        <v>219</v>
      </c>
      <c r="J71" s="6"/>
      <c r="K71" s="6"/>
      <c r="L71" s="6"/>
      <c r="M71" s="6"/>
      <c r="N71" s="6"/>
      <c r="O71" s="6"/>
      <c r="P71" s="6"/>
      <c r="Q71" s="6"/>
      <c r="R71" s="6"/>
      <c r="S71" s="5" t="s">
        <v>203</v>
      </c>
      <c r="T71" s="5" t="s">
        <v>32</v>
      </c>
      <c r="U71" s="7" t="s">
        <v>220</v>
      </c>
      <c r="V71" s="7" t="s">
        <v>221</v>
      </c>
    </row>
    <row r="72" spans="1:22" x14ac:dyDescent="0.25">
      <c r="A72" s="5" t="s">
        <v>24</v>
      </c>
      <c r="B72" s="6" t="s">
        <v>222</v>
      </c>
      <c r="C72" s="5" t="s">
        <v>153</v>
      </c>
      <c r="D72" s="5" t="s">
        <v>27</v>
      </c>
      <c r="E72" s="6" t="s">
        <v>217</v>
      </c>
      <c r="F72" s="6">
        <v>285</v>
      </c>
      <c r="G72" s="6" t="s">
        <v>110</v>
      </c>
      <c r="H72" s="6" t="s">
        <v>223</v>
      </c>
      <c r="I72" s="6" t="s">
        <v>198</v>
      </c>
      <c r="J72" s="6"/>
      <c r="K72" s="6"/>
      <c r="L72" s="6"/>
      <c r="M72" s="6"/>
      <c r="N72" s="6"/>
      <c r="O72" s="6"/>
      <c r="P72" s="6"/>
      <c r="Q72" s="6"/>
      <c r="R72" s="6"/>
      <c r="S72" s="5" t="s">
        <v>203</v>
      </c>
      <c r="T72" s="5" t="s">
        <v>32</v>
      </c>
      <c r="U72" s="7" t="s">
        <v>224</v>
      </c>
      <c r="V72" s="7" t="s">
        <v>225</v>
      </c>
    </row>
    <row r="73" spans="1:22" x14ac:dyDescent="0.25">
      <c r="A73" s="5" t="s">
        <v>24</v>
      </c>
      <c r="B73" s="6" t="s">
        <v>226</v>
      </c>
      <c r="C73" s="5" t="s">
        <v>153</v>
      </c>
      <c r="D73" s="5" t="s">
        <v>27</v>
      </c>
      <c r="E73" s="6" t="s">
        <v>217</v>
      </c>
      <c r="F73" s="6">
        <v>275</v>
      </c>
      <c r="G73" s="6" t="s">
        <v>227</v>
      </c>
      <c r="H73" s="6" t="s">
        <v>91</v>
      </c>
      <c r="I73" s="6" t="s">
        <v>119</v>
      </c>
      <c r="J73" s="6"/>
      <c r="K73" s="6"/>
      <c r="L73" s="6"/>
      <c r="M73" s="6"/>
      <c r="N73" s="6"/>
      <c r="O73" s="6"/>
      <c r="P73" s="6"/>
      <c r="Q73" s="6"/>
      <c r="R73" s="6"/>
      <c r="S73" s="5" t="s">
        <v>203</v>
      </c>
      <c r="T73" s="5" t="s">
        <v>32</v>
      </c>
      <c r="U73" s="7" t="s">
        <v>228</v>
      </c>
      <c r="V73" s="7" t="s">
        <v>229</v>
      </c>
    </row>
    <row r="74" spans="1:22" x14ac:dyDescent="0.25">
      <c r="A74" s="5" t="s">
        <v>24</v>
      </c>
      <c r="B74" s="6" t="s">
        <v>230</v>
      </c>
      <c r="C74" s="5" t="s">
        <v>153</v>
      </c>
      <c r="D74" s="5" t="s">
        <v>27</v>
      </c>
      <c r="E74" s="6" t="s">
        <v>217</v>
      </c>
      <c r="F74" s="6">
        <v>254</v>
      </c>
      <c r="G74" s="6" t="s">
        <v>231</v>
      </c>
      <c r="H74" s="6" t="s">
        <v>232</v>
      </c>
      <c r="I74" s="6" t="s">
        <v>233</v>
      </c>
      <c r="J74" s="6"/>
      <c r="K74" s="6"/>
      <c r="L74" s="6"/>
      <c r="M74" s="6"/>
      <c r="N74" s="6"/>
      <c r="O74" s="6"/>
      <c r="P74" s="6"/>
      <c r="Q74" s="6"/>
      <c r="R74" s="6"/>
      <c r="S74" s="5" t="s">
        <v>203</v>
      </c>
      <c r="T74" s="5" t="s">
        <v>32</v>
      </c>
      <c r="U74" s="7" t="s">
        <v>234</v>
      </c>
      <c r="V74" s="7" t="s">
        <v>235</v>
      </c>
    </row>
    <row r="75" spans="1:22" x14ac:dyDescent="0.25">
      <c r="A75" s="5" t="s">
        <v>24</v>
      </c>
      <c r="B75" s="6" t="s">
        <v>236</v>
      </c>
      <c r="C75" s="5" t="s">
        <v>153</v>
      </c>
      <c r="D75" s="5" t="s">
        <v>27</v>
      </c>
      <c r="E75" s="6" t="s">
        <v>217</v>
      </c>
      <c r="F75" s="6">
        <v>336</v>
      </c>
      <c r="G75" s="6" t="s">
        <v>145</v>
      </c>
      <c r="H75" s="6" t="s">
        <v>237</v>
      </c>
      <c r="I75" s="6" t="s">
        <v>238</v>
      </c>
      <c r="J75" s="6"/>
      <c r="K75" s="6"/>
      <c r="L75" s="6"/>
      <c r="M75" s="6"/>
      <c r="N75" s="6"/>
      <c r="O75" s="6"/>
      <c r="P75" s="6"/>
      <c r="Q75" s="6"/>
      <c r="R75" s="6"/>
      <c r="S75" s="5" t="s">
        <v>203</v>
      </c>
      <c r="T75" s="5" t="s">
        <v>32</v>
      </c>
      <c r="U75" s="7" t="s">
        <v>239</v>
      </c>
      <c r="V75" s="7" t="s">
        <v>240</v>
      </c>
    </row>
    <row r="76" spans="1:22" x14ac:dyDescent="0.25">
      <c r="A76" s="5" t="s">
        <v>88</v>
      </c>
      <c r="B76" s="6" t="s">
        <v>241</v>
      </c>
      <c r="C76" s="5" t="s">
        <v>153</v>
      </c>
      <c r="D76" s="5" t="s">
        <v>27</v>
      </c>
      <c r="E76" s="6" t="s">
        <v>217</v>
      </c>
      <c r="F76" s="6">
        <v>213</v>
      </c>
      <c r="G76" s="6" t="s">
        <v>29</v>
      </c>
      <c r="H76" s="6" t="s">
        <v>69</v>
      </c>
      <c r="I76" s="6" t="s">
        <v>242</v>
      </c>
      <c r="J76" s="6"/>
      <c r="K76" s="6"/>
      <c r="L76" s="6"/>
      <c r="M76" s="6"/>
      <c r="N76" s="6"/>
      <c r="O76" s="6"/>
      <c r="P76" s="6"/>
      <c r="Q76" s="6"/>
      <c r="R76" s="6"/>
      <c r="S76" s="5" t="s">
        <v>203</v>
      </c>
      <c r="T76" s="5" t="s">
        <v>32</v>
      </c>
      <c r="U76" s="7" t="s">
        <v>243</v>
      </c>
      <c r="V76" s="7" t="s">
        <v>244</v>
      </c>
    </row>
    <row r="77" spans="1:22" x14ac:dyDescent="0.25">
      <c r="A77" s="5" t="s">
        <v>94</v>
      </c>
      <c r="B77" s="6" t="s">
        <v>245</v>
      </c>
      <c r="C77" s="5" t="s">
        <v>153</v>
      </c>
      <c r="D77" s="5" t="s">
        <v>27</v>
      </c>
      <c r="E77" s="6" t="s">
        <v>212</v>
      </c>
      <c r="F77" s="6">
        <v>145</v>
      </c>
      <c r="G77" s="6" t="s">
        <v>41</v>
      </c>
      <c r="H77" s="6" t="s">
        <v>69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5" t="s">
        <v>31</v>
      </c>
      <c r="T77" s="5" t="s">
        <v>32</v>
      </c>
      <c r="U77" s="7" t="s">
        <v>246</v>
      </c>
      <c r="V77" s="7" t="s">
        <v>247</v>
      </c>
    </row>
    <row r="78" spans="1:22" x14ac:dyDescent="0.25">
      <c r="A78" s="5" t="s">
        <v>94</v>
      </c>
      <c r="B78" s="6" t="s">
        <v>248</v>
      </c>
      <c r="C78" s="5" t="s">
        <v>153</v>
      </c>
      <c r="D78" s="5" t="s">
        <v>27</v>
      </c>
      <c r="E78" s="6" t="s">
        <v>212</v>
      </c>
      <c r="F78" s="6">
        <v>318</v>
      </c>
      <c r="G78" s="6" t="s">
        <v>249</v>
      </c>
      <c r="H78" s="6" t="s">
        <v>124</v>
      </c>
      <c r="I78" s="6" t="s">
        <v>238</v>
      </c>
      <c r="J78" s="6" t="s">
        <v>250</v>
      </c>
      <c r="K78" s="6"/>
      <c r="L78" s="6"/>
      <c r="M78" s="6"/>
      <c r="N78" s="6"/>
      <c r="O78" s="6"/>
      <c r="P78" s="6"/>
      <c r="Q78" s="6"/>
      <c r="R78" s="6"/>
      <c r="S78" s="5" t="s">
        <v>251</v>
      </c>
      <c r="T78" s="5" t="s">
        <v>32</v>
      </c>
      <c r="U78" s="7" t="s">
        <v>252</v>
      </c>
      <c r="V78" s="7" t="s">
        <v>253</v>
      </c>
    </row>
    <row r="79" spans="1:22" x14ac:dyDescent="0.25">
      <c r="A79" s="5" t="s">
        <v>94</v>
      </c>
      <c r="B79" s="6" t="s">
        <v>254</v>
      </c>
      <c r="C79" s="5" t="s">
        <v>153</v>
      </c>
      <c r="D79" s="5" t="s">
        <v>27</v>
      </c>
      <c r="E79" s="6" t="s">
        <v>217</v>
      </c>
      <c r="F79" s="6">
        <v>378</v>
      </c>
      <c r="G79" s="6" t="s">
        <v>255</v>
      </c>
      <c r="H79" s="6" t="s">
        <v>202</v>
      </c>
      <c r="I79" s="6" t="s">
        <v>256</v>
      </c>
      <c r="J79" s="6" t="s">
        <v>250</v>
      </c>
      <c r="K79" s="6"/>
      <c r="L79" s="6"/>
      <c r="M79" s="6"/>
      <c r="N79" s="6"/>
      <c r="O79" s="6"/>
      <c r="P79" s="6"/>
      <c r="Q79" s="6"/>
      <c r="R79" s="6"/>
      <c r="S79" s="5" t="s">
        <v>251</v>
      </c>
      <c r="T79" s="5" t="s">
        <v>32</v>
      </c>
      <c r="U79" s="7" t="s">
        <v>257</v>
      </c>
      <c r="V79" s="7" t="s">
        <v>258</v>
      </c>
    </row>
    <row r="80" spans="1:22" x14ac:dyDescent="0.25">
      <c r="A80" s="5" t="s">
        <v>117</v>
      </c>
      <c r="B80" s="6" t="s">
        <v>259</v>
      </c>
      <c r="C80" s="5" t="s">
        <v>153</v>
      </c>
      <c r="D80" s="5" t="s">
        <v>27</v>
      </c>
      <c r="E80" s="6" t="s">
        <v>217</v>
      </c>
      <c r="F80" s="6">
        <v>313</v>
      </c>
      <c r="G80" s="6" t="s">
        <v>260</v>
      </c>
      <c r="H80" s="6" t="s">
        <v>193</v>
      </c>
      <c r="I80" s="6" t="s">
        <v>261</v>
      </c>
      <c r="J80" s="6" t="s">
        <v>262</v>
      </c>
      <c r="K80" s="6"/>
      <c r="L80" s="6"/>
      <c r="M80" s="6"/>
      <c r="N80" s="6"/>
      <c r="O80" s="6"/>
      <c r="P80" s="6"/>
      <c r="Q80" s="6"/>
      <c r="R80" s="6"/>
      <c r="S80" s="5" t="s">
        <v>251</v>
      </c>
      <c r="T80" s="5" t="s">
        <v>32</v>
      </c>
      <c r="U80" s="7" t="s">
        <v>263</v>
      </c>
      <c r="V80" s="7" t="s">
        <v>264</v>
      </c>
    </row>
    <row r="81" spans="1:22" x14ac:dyDescent="0.25">
      <c r="A81" s="5" t="s">
        <v>117</v>
      </c>
      <c r="B81" s="6" t="s">
        <v>265</v>
      </c>
      <c r="C81" s="5" t="s">
        <v>153</v>
      </c>
      <c r="D81" s="5" t="s">
        <v>27</v>
      </c>
      <c r="E81" s="6" t="s">
        <v>266</v>
      </c>
      <c r="F81" s="6">
        <v>138</v>
      </c>
      <c r="G81" s="6" t="s">
        <v>267</v>
      </c>
      <c r="H81" s="6" t="s">
        <v>268</v>
      </c>
      <c r="I81" s="6" t="s">
        <v>269</v>
      </c>
      <c r="J81" s="6"/>
      <c r="K81" s="6"/>
      <c r="L81" s="6"/>
      <c r="M81" s="6"/>
      <c r="N81" s="6"/>
      <c r="O81" s="6"/>
      <c r="P81" s="6"/>
      <c r="Q81" s="6"/>
      <c r="R81" s="6"/>
      <c r="S81" s="5" t="s">
        <v>203</v>
      </c>
      <c r="T81" s="5" t="s">
        <v>32</v>
      </c>
      <c r="U81" s="7" t="s">
        <v>270</v>
      </c>
      <c r="V81" s="7" t="s">
        <v>271</v>
      </c>
    </row>
    <row r="82" spans="1:22" x14ac:dyDescent="0.25">
      <c r="A82" s="8">
        <f>COUNTA(B70:B81)</f>
      </c>
      <c r="B82" s="9" t="s">
        <v>272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 t="s">
        <v>273</v>
      </c>
      <c r="T82" s="9">
        <f>COUNTA(T70:T81)</f>
      </c>
      <c r="U82" s="10" t="s">
        <v>274</v>
      </c>
      <c r="V82" s="11" t="s">
        <v>275</v>
      </c>
    </row>
    <row r="83" spans="1:22" x14ac:dyDescent="0.25">
      <c r="A83" s="15">
        <v>57</v>
      </c>
      <c r="B83" s="15" t="s">
        <v>276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 t="s">
        <v>277</v>
      </c>
      <c r="T83" s="15">
        <f>COUNTA(T5:T30,T32:T68,T70:T81)</f>
      </c>
      <c r="U83" s="16" t="s">
        <v>278</v>
      </c>
      <c r="V83" s="16" t="s">
        <v>279</v>
      </c>
    </row>
  </sheetData>
  <mergeCells count="42">
    <mergeCell ref="A2:V2"/>
    <mergeCell ref="A3:K3"/>
    <mergeCell ref="B31:R31"/>
    <mergeCell ref="B32:B33"/>
    <mergeCell ref="T32:T33"/>
    <mergeCell ref="B34:B35"/>
    <mergeCell ref="T34:T35"/>
    <mergeCell ref="B36:B37"/>
    <mergeCell ref="T36:T37"/>
    <mergeCell ref="B38:B39"/>
    <mergeCell ref="T38:T39"/>
    <mergeCell ref="B40:B41"/>
    <mergeCell ref="T40:T41"/>
    <mergeCell ref="B42:B43"/>
    <mergeCell ref="T42:T43"/>
    <mergeCell ref="B44:B45"/>
    <mergeCell ref="T44:T45"/>
    <mergeCell ref="B46:B47"/>
    <mergeCell ref="T46:T47"/>
    <mergeCell ref="B48:B49"/>
    <mergeCell ref="T48:T49"/>
    <mergeCell ref="B50:B51"/>
    <mergeCell ref="T50:T51"/>
    <mergeCell ref="B52:B53"/>
    <mergeCell ref="T52:T53"/>
    <mergeCell ref="B54:B55"/>
    <mergeCell ref="T54:T55"/>
    <mergeCell ref="B56:B57"/>
    <mergeCell ref="T56:T57"/>
    <mergeCell ref="B58:B59"/>
    <mergeCell ref="T58:T59"/>
    <mergeCell ref="B60:B61"/>
    <mergeCell ref="T60:T61"/>
    <mergeCell ref="B62:B63"/>
    <mergeCell ref="T62:T63"/>
    <mergeCell ref="B65:B66"/>
    <mergeCell ref="T65:T66"/>
    <mergeCell ref="B67:B68"/>
    <mergeCell ref="T67:T68"/>
    <mergeCell ref="B69:R69"/>
    <mergeCell ref="B82:R82"/>
    <mergeCell ref="B83:R8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81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30" customWidth="1"/>
    <col min="3" max="3" width="5" customWidth="1"/>
    <col min="5" max="5" width="16" customWidth="1"/>
    <col min="7" max="18" width="5" customWidth="1"/>
    <col min="21" max="22" width="15" customWidth="1"/>
  </cols>
  <sheetData>
    <row r="2" ht="40" customHeight="1" spans="1:22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11" x14ac:dyDescent="0.25">
      <c r="A3" s="2" t="s">
        <v>280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22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4" t="s">
        <v>22</v>
      </c>
      <c r="V4" s="4" t="s">
        <v>23</v>
      </c>
    </row>
    <row r="5" spans="1:22" x14ac:dyDescent="0.25">
      <c r="A5" s="5" t="s">
        <v>24</v>
      </c>
      <c r="B5" s="6" t="s">
        <v>25</v>
      </c>
      <c r="C5" s="5" t="s">
        <v>26</v>
      </c>
      <c r="D5" s="5" t="s">
        <v>27</v>
      </c>
      <c r="E5" s="6" t="s">
        <v>28</v>
      </c>
      <c r="F5" s="6">
        <v>282</v>
      </c>
      <c r="G5" s="6" t="s">
        <v>29</v>
      </c>
      <c r="H5" s="6" t="s">
        <v>30</v>
      </c>
      <c r="I5" s="6"/>
      <c r="J5" s="6"/>
      <c r="K5" s="6"/>
      <c r="L5" s="6"/>
      <c r="M5" s="6"/>
      <c r="N5" s="6"/>
      <c r="O5" s="6"/>
      <c r="P5" s="6"/>
      <c r="Q5" s="6"/>
      <c r="R5" s="6"/>
      <c r="S5" s="5" t="s">
        <v>31</v>
      </c>
      <c r="T5" s="5" t="s">
        <v>32</v>
      </c>
      <c r="U5" s="7" t="s">
        <v>33</v>
      </c>
      <c r="V5" s="7" t="s">
        <v>281</v>
      </c>
    </row>
    <row r="6" spans="1:22" x14ac:dyDescent="0.25">
      <c r="A6" s="5" t="s">
        <v>24</v>
      </c>
      <c r="B6" s="6" t="s">
        <v>35</v>
      </c>
      <c r="C6" s="5" t="s">
        <v>26</v>
      </c>
      <c r="D6" s="5" t="s">
        <v>27</v>
      </c>
      <c r="E6" s="6" t="s">
        <v>28</v>
      </c>
      <c r="F6" s="6">
        <v>246</v>
      </c>
      <c r="G6" s="6" t="s">
        <v>36</v>
      </c>
      <c r="H6" s="6" t="s">
        <v>37</v>
      </c>
      <c r="I6" s="6"/>
      <c r="J6" s="6"/>
      <c r="K6" s="6"/>
      <c r="L6" s="6"/>
      <c r="M6" s="6"/>
      <c r="N6" s="6"/>
      <c r="O6" s="6"/>
      <c r="P6" s="6"/>
      <c r="Q6" s="6"/>
      <c r="R6" s="6"/>
      <c r="S6" s="5" t="s">
        <v>31</v>
      </c>
      <c r="T6" s="5" t="s">
        <v>32</v>
      </c>
      <c r="U6" s="7" t="s">
        <v>38</v>
      </c>
      <c r="V6" s="7" t="s">
        <v>282</v>
      </c>
    </row>
    <row r="7" spans="1:22" x14ac:dyDescent="0.25">
      <c r="A7" s="5" t="s">
        <v>24</v>
      </c>
      <c r="B7" s="6" t="s">
        <v>40</v>
      </c>
      <c r="C7" s="5" t="s">
        <v>26</v>
      </c>
      <c r="D7" s="5" t="s">
        <v>27</v>
      </c>
      <c r="E7" s="6" t="s">
        <v>28</v>
      </c>
      <c r="F7" s="6">
        <v>346</v>
      </c>
      <c r="G7" s="6" t="s">
        <v>41</v>
      </c>
      <c r="H7" s="6" t="s">
        <v>42</v>
      </c>
      <c r="I7" s="6"/>
      <c r="J7" s="6"/>
      <c r="K7" s="6"/>
      <c r="L7" s="6"/>
      <c r="M7" s="6"/>
      <c r="N7" s="6"/>
      <c r="O7" s="6"/>
      <c r="P7" s="6"/>
      <c r="Q7" s="6"/>
      <c r="R7" s="6"/>
      <c r="S7" s="5" t="s">
        <v>31</v>
      </c>
      <c r="T7" s="5" t="s">
        <v>32</v>
      </c>
      <c r="U7" s="7" t="s">
        <v>43</v>
      </c>
      <c r="V7" s="7" t="s">
        <v>283</v>
      </c>
    </row>
    <row r="8" spans="1:22" x14ac:dyDescent="0.25">
      <c r="A8" s="5" t="s">
        <v>24</v>
      </c>
      <c r="B8" s="6" t="s">
        <v>45</v>
      </c>
      <c r="C8" s="5" t="s">
        <v>26</v>
      </c>
      <c r="D8" s="5" t="s">
        <v>27</v>
      </c>
      <c r="E8" s="6" t="s">
        <v>28</v>
      </c>
      <c r="F8" s="6">
        <v>266</v>
      </c>
      <c r="G8" s="6" t="s">
        <v>46</v>
      </c>
      <c r="H8" s="6" t="s">
        <v>47</v>
      </c>
      <c r="I8" s="6"/>
      <c r="J8" s="6"/>
      <c r="K8" s="6"/>
      <c r="L8" s="6"/>
      <c r="M8" s="6"/>
      <c r="N8" s="6"/>
      <c r="O8" s="6"/>
      <c r="P8" s="6"/>
      <c r="Q8" s="6"/>
      <c r="R8" s="6"/>
      <c r="S8" s="5" t="s">
        <v>31</v>
      </c>
      <c r="T8" s="5" t="s">
        <v>32</v>
      </c>
      <c r="U8" s="7" t="s">
        <v>48</v>
      </c>
      <c r="V8" s="7" t="s">
        <v>121</v>
      </c>
    </row>
    <row r="9" spans="1:22" x14ac:dyDescent="0.25">
      <c r="A9" s="5" t="s">
        <v>24</v>
      </c>
      <c r="B9" s="6" t="s">
        <v>50</v>
      </c>
      <c r="C9" s="5" t="s">
        <v>26</v>
      </c>
      <c r="D9" s="5" t="s">
        <v>27</v>
      </c>
      <c r="E9" s="6" t="s">
        <v>28</v>
      </c>
      <c r="F9" s="6">
        <v>321</v>
      </c>
      <c r="G9" s="6" t="s">
        <v>51</v>
      </c>
      <c r="H9" s="6" t="s">
        <v>30</v>
      </c>
      <c r="I9" s="6"/>
      <c r="J9" s="6"/>
      <c r="K9" s="6"/>
      <c r="L9" s="6"/>
      <c r="M9" s="6"/>
      <c r="N9" s="6"/>
      <c r="O9" s="6"/>
      <c r="P9" s="6"/>
      <c r="Q9" s="6"/>
      <c r="R9" s="6"/>
      <c r="S9" s="5" t="s">
        <v>31</v>
      </c>
      <c r="T9" s="5" t="s">
        <v>32</v>
      </c>
      <c r="U9" s="7" t="s">
        <v>52</v>
      </c>
      <c r="V9" s="7" t="s">
        <v>39</v>
      </c>
    </row>
    <row r="10" spans="1:22" x14ac:dyDescent="0.25">
      <c r="A10" s="5" t="s">
        <v>24</v>
      </c>
      <c r="B10" s="6" t="s">
        <v>54</v>
      </c>
      <c r="C10" s="5" t="s">
        <v>26</v>
      </c>
      <c r="D10" s="5" t="s">
        <v>27</v>
      </c>
      <c r="E10" s="6" t="s">
        <v>28</v>
      </c>
      <c r="F10" s="6">
        <v>250</v>
      </c>
      <c r="G10" s="6" t="s">
        <v>102</v>
      </c>
      <c r="H10" s="6" t="s">
        <v>47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5" t="s">
        <v>31</v>
      </c>
      <c r="T10" s="5" t="s">
        <v>32</v>
      </c>
      <c r="U10" s="7" t="s">
        <v>57</v>
      </c>
      <c r="V10" s="7" t="s">
        <v>282</v>
      </c>
    </row>
    <row r="11" spans="1:22" x14ac:dyDescent="0.25">
      <c r="A11" s="5" t="s">
        <v>24</v>
      </c>
      <c r="B11" s="6" t="s">
        <v>59</v>
      </c>
      <c r="C11" s="5" t="s">
        <v>26</v>
      </c>
      <c r="D11" s="5" t="s">
        <v>27</v>
      </c>
      <c r="E11" s="6" t="s">
        <v>28</v>
      </c>
      <c r="F11" s="6">
        <v>321</v>
      </c>
      <c r="G11" s="6" t="s">
        <v>284</v>
      </c>
      <c r="H11" s="6" t="s">
        <v>61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5" t="s">
        <v>31</v>
      </c>
      <c r="T11" s="5" t="s">
        <v>32</v>
      </c>
      <c r="U11" s="7" t="s">
        <v>52</v>
      </c>
      <c r="V11" s="7" t="s">
        <v>285</v>
      </c>
    </row>
    <row r="12" spans="1:22" x14ac:dyDescent="0.25">
      <c r="A12" s="5" t="s">
        <v>24</v>
      </c>
      <c r="B12" s="6" t="s">
        <v>63</v>
      </c>
      <c r="C12" s="5" t="s">
        <v>26</v>
      </c>
      <c r="D12" s="5" t="s">
        <v>27</v>
      </c>
      <c r="E12" s="6" t="s">
        <v>28</v>
      </c>
      <c r="F12" s="6">
        <v>297</v>
      </c>
      <c r="G12" s="6" t="s">
        <v>64</v>
      </c>
      <c r="H12" s="6" t="s">
        <v>65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5" t="s">
        <v>31</v>
      </c>
      <c r="T12" s="5" t="s">
        <v>32</v>
      </c>
      <c r="U12" s="7" t="s">
        <v>66</v>
      </c>
      <c r="V12" s="7" t="s">
        <v>286</v>
      </c>
    </row>
    <row r="13" spans="1:22" x14ac:dyDescent="0.25">
      <c r="A13" s="5" t="s">
        <v>24</v>
      </c>
      <c r="B13" s="6" t="s">
        <v>68</v>
      </c>
      <c r="C13" s="5" t="s">
        <v>26</v>
      </c>
      <c r="D13" s="5" t="s">
        <v>27</v>
      </c>
      <c r="E13" s="6" t="s">
        <v>28</v>
      </c>
      <c r="F13" s="6">
        <v>228</v>
      </c>
      <c r="G13" s="6" t="s">
        <v>29</v>
      </c>
      <c r="H13" s="6" t="s">
        <v>30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5" t="s">
        <v>31</v>
      </c>
      <c r="T13" s="5" t="s">
        <v>32</v>
      </c>
      <c r="U13" s="7" t="s">
        <v>70</v>
      </c>
      <c r="V13" s="7" t="s">
        <v>287</v>
      </c>
    </row>
    <row r="14" spans="1:22" x14ac:dyDescent="0.25">
      <c r="A14" s="5" t="s">
        <v>72</v>
      </c>
      <c r="B14" s="6" t="s">
        <v>73</v>
      </c>
      <c r="C14" s="5" t="s">
        <v>26</v>
      </c>
      <c r="D14" s="5" t="s">
        <v>27</v>
      </c>
      <c r="E14" s="6" t="s">
        <v>28</v>
      </c>
      <c r="F14" s="6">
        <v>358</v>
      </c>
      <c r="G14" s="6" t="s">
        <v>74</v>
      </c>
      <c r="H14" s="6" t="s">
        <v>30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5" t="s">
        <v>31</v>
      </c>
      <c r="T14" s="5" t="s">
        <v>32</v>
      </c>
      <c r="U14" s="7" t="s">
        <v>75</v>
      </c>
      <c r="V14" s="7" t="s">
        <v>288</v>
      </c>
    </row>
    <row r="15" spans="1:22" x14ac:dyDescent="0.25">
      <c r="A15" s="5" t="s">
        <v>72</v>
      </c>
      <c r="B15" s="6" t="s">
        <v>77</v>
      </c>
      <c r="C15" s="5" t="s">
        <v>26</v>
      </c>
      <c r="D15" s="5" t="s">
        <v>27</v>
      </c>
      <c r="E15" s="6" t="s">
        <v>28</v>
      </c>
      <c r="F15" s="6">
        <v>422</v>
      </c>
      <c r="G15" s="6" t="s">
        <v>78</v>
      </c>
      <c r="H15" s="6" t="s">
        <v>79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5" t="s">
        <v>31</v>
      </c>
      <c r="T15" s="5" t="s">
        <v>32</v>
      </c>
      <c r="U15" s="7" t="s">
        <v>80</v>
      </c>
      <c r="V15" s="7" t="s">
        <v>235</v>
      </c>
    </row>
    <row r="16" spans="1:22" x14ac:dyDescent="0.25">
      <c r="A16" s="5" t="s">
        <v>72</v>
      </c>
      <c r="B16" s="6" t="s">
        <v>82</v>
      </c>
      <c r="C16" s="5" t="s">
        <v>26</v>
      </c>
      <c r="D16" s="5" t="s">
        <v>27</v>
      </c>
      <c r="E16" s="6" t="s">
        <v>83</v>
      </c>
      <c r="F16" s="6">
        <v>441</v>
      </c>
      <c r="G16" s="6" t="s">
        <v>74</v>
      </c>
      <c r="H16" s="6" t="s">
        <v>30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5" t="s">
        <v>31</v>
      </c>
      <c r="T16" s="5" t="s">
        <v>32</v>
      </c>
      <c r="U16" s="7" t="s">
        <v>84</v>
      </c>
      <c r="V16" s="7" t="s">
        <v>240</v>
      </c>
    </row>
    <row r="17" spans="1:22" x14ac:dyDescent="0.25">
      <c r="A17" s="5" t="s">
        <v>72</v>
      </c>
      <c r="B17" s="6" t="s">
        <v>86</v>
      </c>
      <c r="C17" s="5" t="s">
        <v>26</v>
      </c>
      <c r="D17" s="5" t="s">
        <v>27</v>
      </c>
      <c r="E17" s="6" t="s">
        <v>28</v>
      </c>
      <c r="F17" s="6">
        <v>304</v>
      </c>
      <c r="G17" s="6" t="s">
        <v>64</v>
      </c>
      <c r="H17" s="6" t="s">
        <v>65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5" t="s">
        <v>31</v>
      </c>
      <c r="T17" s="5" t="s">
        <v>32</v>
      </c>
      <c r="U17" s="7" t="s">
        <v>87</v>
      </c>
      <c r="V17" s="7" t="s">
        <v>287</v>
      </c>
    </row>
    <row r="18" spans="1:22" x14ac:dyDescent="0.25">
      <c r="A18" s="5" t="s">
        <v>88</v>
      </c>
      <c r="B18" s="6" t="s">
        <v>89</v>
      </c>
      <c r="C18" s="5" t="s">
        <v>26</v>
      </c>
      <c r="D18" s="5" t="s">
        <v>27</v>
      </c>
      <c r="E18" s="6" t="s">
        <v>28</v>
      </c>
      <c r="F18" s="6">
        <v>241</v>
      </c>
      <c r="G18" s="6" t="s">
        <v>90</v>
      </c>
      <c r="H18" s="6" t="s">
        <v>91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5" t="s">
        <v>31</v>
      </c>
      <c r="T18" s="5" t="s">
        <v>32</v>
      </c>
      <c r="U18" s="7" t="s">
        <v>92</v>
      </c>
      <c r="V18" s="7" t="s">
        <v>289</v>
      </c>
    </row>
    <row r="19" spans="1:22" x14ac:dyDescent="0.25">
      <c r="A19" s="5" t="s">
        <v>94</v>
      </c>
      <c r="B19" s="6" t="s">
        <v>95</v>
      </c>
      <c r="C19" s="5" t="s">
        <v>26</v>
      </c>
      <c r="D19" s="5" t="s">
        <v>27</v>
      </c>
      <c r="E19" s="6" t="s">
        <v>96</v>
      </c>
      <c r="F19" s="6">
        <v>180</v>
      </c>
      <c r="G19" s="6" t="s">
        <v>97</v>
      </c>
      <c r="H19" s="6" t="s">
        <v>98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5" t="s">
        <v>31</v>
      </c>
      <c r="T19" s="5" t="s">
        <v>32</v>
      </c>
      <c r="U19" s="7" t="s">
        <v>99</v>
      </c>
      <c r="V19" s="7" t="s">
        <v>139</v>
      </c>
    </row>
    <row r="20" spans="1:22" x14ac:dyDescent="0.25">
      <c r="A20" s="5" t="s">
        <v>94</v>
      </c>
      <c r="B20" s="6" t="s">
        <v>101</v>
      </c>
      <c r="C20" s="5" t="s">
        <v>26</v>
      </c>
      <c r="D20" s="5" t="s">
        <v>27</v>
      </c>
      <c r="E20" s="6" t="s">
        <v>28</v>
      </c>
      <c r="F20" s="6">
        <v>387</v>
      </c>
      <c r="G20" s="6" t="s">
        <v>78</v>
      </c>
      <c r="H20" s="6" t="s">
        <v>198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5" t="s">
        <v>31</v>
      </c>
      <c r="T20" s="5" t="s">
        <v>32</v>
      </c>
      <c r="U20" s="7" t="s">
        <v>104</v>
      </c>
      <c r="V20" s="7" t="s">
        <v>39</v>
      </c>
    </row>
    <row r="21" spans="1:22" x14ac:dyDescent="0.25">
      <c r="A21" s="5" t="s">
        <v>94</v>
      </c>
      <c r="B21" s="6" t="s">
        <v>106</v>
      </c>
      <c r="C21" s="5" t="s">
        <v>26</v>
      </c>
      <c r="D21" s="5" t="s">
        <v>27</v>
      </c>
      <c r="E21" s="6" t="s">
        <v>28</v>
      </c>
      <c r="F21" s="6">
        <v>268</v>
      </c>
      <c r="G21" s="6" t="s">
        <v>29</v>
      </c>
      <c r="H21" s="6" t="s">
        <v>30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5" t="s">
        <v>31</v>
      </c>
      <c r="T21" s="5" t="s">
        <v>32</v>
      </c>
      <c r="U21" s="7" t="s">
        <v>107</v>
      </c>
      <c r="V21" s="7" t="s">
        <v>290</v>
      </c>
    </row>
    <row r="22" spans="1:22" x14ac:dyDescent="0.25">
      <c r="A22" s="5" t="s">
        <v>94</v>
      </c>
      <c r="B22" s="6" t="s">
        <v>109</v>
      </c>
      <c r="C22" s="5" t="s">
        <v>26</v>
      </c>
      <c r="D22" s="5" t="s">
        <v>27</v>
      </c>
      <c r="E22" s="6" t="s">
        <v>28</v>
      </c>
      <c r="F22" s="6">
        <v>624</v>
      </c>
      <c r="G22" s="6" t="s">
        <v>110</v>
      </c>
      <c r="H22" s="6" t="s">
        <v>136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5" t="s">
        <v>31</v>
      </c>
      <c r="T22" s="5" t="s">
        <v>32</v>
      </c>
      <c r="U22" s="7" t="s">
        <v>112</v>
      </c>
      <c r="V22" s="7" t="s">
        <v>291</v>
      </c>
    </row>
    <row r="23" spans="1:22" x14ac:dyDescent="0.25">
      <c r="A23" s="5" t="s">
        <v>94</v>
      </c>
      <c r="B23" s="6" t="s">
        <v>114</v>
      </c>
      <c r="C23" s="5" t="s">
        <v>26</v>
      </c>
      <c r="D23" s="5" t="s">
        <v>27</v>
      </c>
      <c r="E23" s="6" t="s">
        <v>28</v>
      </c>
      <c r="F23" s="6">
        <v>323</v>
      </c>
      <c r="G23" s="6" t="s">
        <v>29</v>
      </c>
      <c r="H23" s="6" t="s">
        <v>30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5" t="s">
        <v>31</v>
      </c>
      <c r="T23" s="5" t="s">
        <v>32</v>
      </c>
      <c r="U23" s="7" t="s">
        <v>115</v>
      </c>
      <c r="V23" s="7" t="s">
        <v>292</v>
      </c>
    </row>
    <row r="24" spans="1:22" x14ac:dyDescent="0.25">
      <c r="A24" s="5" t="s">
        <v>117</v>
      </c>
      <c r="B24" s="6" t="s">
        <v>118</v>
      </c>
      <c r="C24" s="5" t="s">
        <v>26</v>
      </c>
      <c r="D24" s="5" t="s">
        <v>27</v>
      </c>
      <c r="E24" s="6" t="s">
        <v>28</v>
      </c>
      <c r="F24" s="6">
        <v>364</v>
      </c>
      <c r="G24" s="6" t="s">
        <v>60</v>
      </c>
      <c r="H24" s="6" t="s">
        <v>119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5" t="s">
        <v>31</v>
      </c>
      <c r="T24" s="5" t="s">
        <v>32</v>
      </c>
      <c r="U24" s="7" t="s">
        <v>120</v>
      </c>
      <c r="V24" s="7" t="s">
        <v>251</v>
      </c>
    </row>
    <row r="25" spans="1:22" x14ac:dyDescent="0.25">
      <c r="A25" s="5" t="s">
        <v>117</v>
      </c>
      <c r="B25" s="6" t="s">
        <v>122</v>
      </c>
      <c r="C25" s="5" t="s">
        <v>26</v>
      </c>
      <c r="D25" s="5" t="s">
        <v>27</v>
      </c>
      <c r="E25" s="6" t="s">
        <v>28</v>
      </c>
      <c r="F25" s="6">
        <v>225</v>
      </c>
      <c r="G25" s="6" t="s">
        <v>123</v>
      </c>
      <c r="H25" s="6" t="s">
        <v>124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5" t="s">
        <v>31</v>
      </c>
      <c r="T25" s="5" t="s">
        <v>32</v>
      </c>
      <c r="U25" s="7" t="s">
        <v>125</v>
      </c>
      <c r="V25" s="7" t="s">
        <v>293</v>
      </c>
    </row>
    <row r="26" spans="1:22" x14ac:dyDescent="0.25">
      <c r="A26" s="5" t="s">
        <v>117</v>
      </c>
      <c r="B26" s="6" t="s">
        <v>127</v>
      </c>
      <c r="C26" s="5" t="s">
        <v>26</v>
      </c>
      <c r="D26" s="5" t="s">
        <v>27</v>
      </c>
      <c r="E26" s="6" t="s">
        <v>28</v>
      </c>
      <c r="F26" s="6">
        <v>210</v>
      </c>
      <c r="G26" s="6" t="s">
        <v>294</v>
      </c>
      <c r="H26" s="6" t="s">
        <v>295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5" t="s">
        <v>31</v>
      </c>
      <c r="T26" s="5" t="s">
        <v>32</v>
      </c>
      <c r="U26" s="7" t="s">
        <v>129</v>
      </c>
      <c r="V26" s="7" t="s">
        <v>287</v>
      </c>
    </row>
    <row r="27" spans="1:22" x14ac:dyDescent="0.25">
      <c r="A27" s="5" t="s">
        <v>117</v>
      </c>
      <c r="B27" s="6" t="s">
        <v>131</v>
      </c>
      <c r="C27" s="5" t="s">
        <v>26</v>
      </c>
      <c r="D27" s="5" t="s">
        <v>27</v>
      </c>
      <c r="E27" s="6" t="s">
        <v>28</v>
      </c>
      <c r="F27" s="6">
        <v>167</v>
      </c>
      <c r="G27" s="6" t="s">
        <v>132</v>
      </c>
      <c r="H27" s="6" t="s">
        <v>133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5" t="s">
        <v>31</v>
      </c>
      <c r="T27" s="5" t="s">
        <v>32</v>
      </c>
      <c r="U27" s="7" t="s">
        <v>134</v>
      </c>
      <c r="V27" s="7" t="s">
        <v>285</v>
      </c>
    </row>
    <row r="28" spans="1:22" x14ac:dyDescent="0.25">
      <c r="A28" s="5" t="s">
        <v>117</v>
      </c>
      <c r="B28" s="6" t="s">
        <v>135</v>
      </c>
      <c r="C28" s="5" t="s">
        <v>26</v>
      </c>
      <c r="D28" s="5" t="s">
        <v>27</v>
      </c>
      <c r="E28" s="6" t="s">
        <v>28</v>
      </c>
      <c r="F28" s="6">
        <v>258</v>
      </c>
      <c r="G28" s="6" t="s">
        <v>136</v>
      </c>
      <c r="H28" s="6" t="s">
        <v>137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5" t="s">
        <v>31</v>
      </c>
      <c r="T28" s="5" t="s">
        <v>32</v>
      </c>
      <c r="U28" s="7" t="s">
        <v>138</v>
      </c>
      <c r="V28" s="7" t="s">
        <v>282</v>
      </c>
    </row>
    <row r="29" spans="1:22" x14ac:dyDescent="0.25">
      <c r="A29" s="5" t="s">
        <v>140</v>
      </c>
      <c r="B29" s="6" t="s">
        <v>141</v>
      </c>
      <c r="C29" s="5" t="s">
        <v>26</v>
      </c>
      <c r="D29" s="5" t="s">
        <v>27</v>
      </c>
      <c r="E29" s="6" t="s">
        <v>28</v>
      </c>
      <c r="F29" s="6">
        <v>213</v>
      </c>
      <c r="G29" s="6" t="s">
        <v>111</v>
      </c>
      <c r="H29" s="6" t="s">
        <v>91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5" t="s">
        <v>31</v>
      </c>
      <c r="T29" s="5" t="s">
        <v>32</v>
      </c>
      <c r="U29" s="7" t="s">
        <v>142</v>
      </c>
      <c r="V29" s="7" t="s">
        <v>31</v>
      </c>
    </row>
    <row r="30" spans="1:22" x14ac:dyDescent="0.25">
      <c r="A30" s="5" t="s">
        <v>140</v>
      </c>
      <c r="B30" s="6" t="s">
        <v>144</v>
      </c>
      <c r="C30" s="5" t="s">
        <v>26</v>
      </c>
      <c r="D30" s="5" t="s">
        <v>27</v>
      </c>
      <c r="E30" s="6" t="s">
        <v>28</v>
      </c>
      <c r="F30" s="6">
        <v>373</v>
      </c>
      <c r="G30" s="6" t="s">
        <v>64</v>
      </c>
      <c r="H30" s="6" t="s">
        <v>145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5" t="s">
        <v>31</v>
      </c>
      <c r="T30" s="5" t="s">
        <v>32</v>
      </c>
      <c r="U30" s="7" t="s">
        <v>146</v>
      </c>
      <c r="V30" s="7" t="s">
        <v>296</v>
      </c>
    </row>
    <row r="31" spans="1:22" x14ac:dyDescent="0.25">
      <c r="A31" s="8">
        <f>COUNTA(B5:B30)</f>
      </c>
      <c r="B31" s="9" t="s">
        <v>148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">
        <v>149</v>
      </c>
      <c r="T31" s="9">
        <f>COUNTA(T5:T30)</f>
      </c>
      <c r="U31" s="10" t="s">
        <v>150</v>
      </c>
      <c r="V31" s="11" t="s">
        <v>297</v>
      </c>
    </row>
    <row r="32" spans="1:22" x14ac:dyDescent="0.25">
      <c r="A32" s="5" t="s">
        <v>24</v>
      </c>
      <c r="B32" s="6" t="s">
        <v>152</v>
      </c>
      <c r="C32" s="5" t="s">
        <v>153</v>
      </c>
      <c r="D32" s="5" t="s">
        <v>27</v>
      </c>
      <c r="E32" s="6" t="s">
        <v>154</v>
      </c>
      <c r="F32" s="12">
        <v>197</v>
      </c>
      <c r="G32" s="6" t="s">
        <v>155</v>
      </c>
      <c r="H32" s="6" t="s">
        <v>37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13">
        <v>2</v>
      </c>
      <c r="T32" s="13">
        <v>1</v>
      </c>
      <c r="U32" s="14">
        <v>394</v>
      </c>
      <c r="V32" s="7">
        <v>3</v>
      </c>
    </row>
    <row r="33" spans="1:22" x14ac:dyDescent="0.25">
      <c r="A33" s="5" t="s">
        <v>24</v>
      </c>
      <c r="B33" s="6"/>
      <c r="C33" s="5" t="s">
        <v>153</v>
      </c>
      <c r="D33" s="5" t="s">
        <v>156</v>
      </c>
      <c r="E33" s="6" t="s">
        <v>154</v>
      </c>
      <c r="F33" s="12">
        <v>197</v>
      </c>
      <c r="G33" s="6" t="s">
        <v>157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13">
        <v>1</v>
      </c>
      <c r="T33" s="13"/>
      <c r="U33" s="14">
        <v>197</v>
      </c>
      <c r="V33" s="7">
        <v>0</v>
      </c>
    </row>
    <row r="34" spans="1:22" x14ac:dyDescent="0.25">
      <c r="A34" s="5" t="s">
        <v>24</v>
      </c>
      <c r="B34" s="6" t="s">
        <v>158</v>
      </c>
      <c r="C34" s="5" t="s">
        <v>153</v>
      </c>
      <c r="D34" s="5" t="s">
        <v>156</v>
      </c>
      <c r="E34" s="6" t="s">
        <v>159</v>
      </c>
      <c r="F34" s="12">
        <v>183</v>
      </c>
      <c r="G34" s="6" t="s">
        <v>111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13">
        <v>1</v>
      </c>
      <c r="T34" s="13">
        <v>1</v>
      </c>
      <c r="U34" s="14">
        <v>183</v>
      </c>
      <c r="V34" s="7">
        <v>6</v>
      </c>
    </row>
    <row r="35" spans="1:22" x14ac:dyDescent="0.25">
      <c r="A35" s="5" t="s">
        <v>24</v>
      </c>
      <c r="B35" s="6"/>
      <c r="C35" s="5" t="s">
        <v>153</v>
      </c>
      <c r="D35" s="5" t="s">
        <v>27</v>
      </c>
      <c r="E35" s="6" t="s">
        <v>159</v>
      </c>
      <c r="F35" s="12">
        <v>183</v>
      </c>
      <c r="G35" s="6" t="s">
        <v>160</v>
      </c>
      <c r="H35" s="6" t="s">
        <v>161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13">
        <v>2</v>
      </c>
      <c r="T35" s="13"/>
      <c r="U35" s="14">
        <v>366</v>
      </c>
      <c r="V35" s="7">
        <v>13</v>
      </c>
    </row>
    <row r="36" spans="1:22" x14ac:dyDescent="0.25">
      <c r="A36" s="5" t="s">
        <v>24</v>
      </c>
      <c r="B36" s="6" t="s">
        <v>162</v>
      </c>
      <c r="C36" s="5" t="s">
        <v>153</v>
      </c>
      <c r="D36" s="5" t="s">
        <v>27</v>
      </c>
      <c r="E36" s="6" t="s">
        <v>163</v>
      </c>
      <c r="F36" s="12">
        <v>265</v>
      </c>
      <c r="G36" s="6" t="s">
        <v>155</v>
      </c>
      <c r="H36" s="6" t="s">
        <v>98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13">
        <v>2</v>
      </c>
      <c r="T36" s="13">
        <v>1</v>
      </c>
      <c r="U36" s="14">
        <v>530</v>
      </c>
      <c r="V36" s="7">
        <v>1</v>
      </c>
    </row>
    <row r="37" spans="1:22" x14ac:dyDescent="0.25">
      <c r="A37" s="5" t="s">
        <v>24</v>
      </c>
      <c r="B37" s="6"/>
      <c r="C37" s="5" t="s">
        <v>153</v>
      </c>
      <c r="D37" s="5" t="s">
        <v>156</v>
      </c>
      <c r="E37" s="6" t="s">
        <v>163</v>
      </c>
      <c r="F37" s="12">
        <v>265</v>
      </c>
      <c r="G37" s="6" t="s">
        <v>132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13">
        <v>1</v>
      </c>
      <c r="T37" s="13"/>
      <c r="U37" s="14">
        <v>265</v>
      </c>
      <c r="V37" s="7">
        <v>2</v>
      </c>
    </row>
    <row r="38" spans="1:22" x14ac:dyDescent="0.25">
      <c r="A38" s="5" t="s">
        <v>24</v>
      </c>
      <c r="B38" s="6" t="s">
        <v>164</v>
      </c>
      <c r="C38" s="5" t="s">
        <v>153</v>
      </c>
      <c r="D38" s="5" t="s">
        <v>156</v>
      </c>
      <c r="E38" s="6" t="s">
        <v>165</v>
      </c>
      <c r="F38" s="12">
        <v>66</v>
      </c>
      <c r="G38" s="6" t="s">
        <v>166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13">
        <v>1</v>
      </c>
      <c r="T38" s="13">
        <v>1</v>
      </c>
      <c r="U38" s="14">
        <v>66</v>
      </c>
      <c r="V38" s="7">
        <v>22</v>
      </c>
    </row>
    <row r="39" spans="1:22" x14ac:dyDescent="0.25">
      <c r="A39" s="5" t="s">
        <v>24</v>
      </c>
      <c r="B39" s="6"/>
      <c r="C39" s="5" t="s">
        <v>153</v>
      </c>
      <c r="D39" s="5" t="s">
        <v>27</v>
      </c>
      <c r="E39" s="6" t="s">
        <v>165</v>
      </c>
      <c r="F39" s="12">
        <v>66</v>
      </c>
      <c r="G39" s="6" t="s">
        <v>47</v>
      </c>
      <c r="H39" s="6" t="s">
        <v>167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13">
        <v>2</v>
      </c>
      <c r="T39" s="13"/>
      <c r="U39" s="14">
        <v>132</v>
      </c>
      <c r="V39" s="7">
        <v>15</v>
      </c>
    </row>
    <row r="40" spans="1:22" x14ac:dyDescent="0.25">
      <c r="A40" s="5" t="s">
        <v>24</v>
      </c>
      <c r="B40" s="6" t="s">
        <v>168</v>
      </c>
      <c r="C40" s="5" t="s">
        <v>153</v>
      </c>
      <c r="D40" s="5" t="s">
        <v>27</v>
      </c>
      <c r="E40" s="6" t="s">
        <v>169</v>
      </c>
      <c r="F40" s="12">
        <v>232</v>
      </c>
      <c r="G40" s="6" t="s">
        <v>170</v>
      </c>
      <c r="H40" s="6" t="s">
        <v>171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13">
        <v>2</v>
      </c>
      <c r="T40" s="13">
        <v>1</v>
      </c>
      <c r="U40" s="14">
        <v>464</v>
      </c>
      <c r="V40" s="7">
        <v>15</v>
      </c>
    </row>
    <row r="41" spans="1:22" x14ac:dyDescent="0.25">
      <c r="A41" s="5" t="s">
        <v>24</v>
      </c>
      <c r="B41" s="6"/>
      <c r="C41" s="5" t="s">
        <v>153</v>
      </c>
      <c r="D41" s="5" t="s">
        <v>156</v>
      </c>
      <c r="E41" s="6" t="s">
        <v>169</v>
      </c>
      <c r="F41" s="12">
        <v>232</v>
      </c>
      <c r="G41" s="6" t="s">
        <v>172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13">
        <v>1</v>
      </c>
      <c r="T41" s="13"/>
      <c r="U41" s="14">
        <v>232</v>
      </c>
      <c r="V41" s="7">
        <v>18</v>
      </c>
    </row>
    <row r="42" spans="1:22" x14ac:dyDescent="0.25">
      <c r="A42" s="5" t="s">
        <v>72</v>
      </c>
      <c r="B42" s="6" t="s">
        <v>173</v>
      </c>
      <c r="C42" s="5" t="s">
        <v>153</v>
      </c>
      <c r="D42" s="5" t="s">
        <v>27</v>
      </c>
      <c r="E42" s="6" t="s">
        <v>174</v>
      </c>
      <c r="F42" s="12">
        <v>305</v>
      </c>
      <c r="G42" s="6" t="s">
        <v>123</v>
      </c>
      <c r="H42" s="6" t="s">
        <v>103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13">
        <v>2</v>
      </c>
      <c r="T42" s="13">
        <v>1</v>
      </c>
      <c r="U42" s="14">
        <v>610</v>
      </c>
      <c r="V42" s="7">
        <v>1</v>
      </c>
    </row>
    <row r="43" spans="1:22" x14ac:dyDescent="0.25">
      <c r="A43" s="5" t="s">
        <v>72</v>
      </c>
      <c r="B43" s="6"/>
      <c r="C43" s="5" t="s">
        <v>153</v>
      </c>
      <c r="D43" s="5" t="s">
        <v>156</v>
      </c>
      <c r="E43" s="6" t="s">
        <v>174</v>
      </c>
      <c r="F43" s="12">
        <v>305</v>
      </c>
      <c r="G43" s="6" t="s">
        <v>175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13">
        <v>1</v>
      </c>
      <c r="T43" s="13"/>
      <c r="U43" s="14">
        <v>305</v>
      </c>
      <c r="V43" s="7">
        <v>0</v>
      </c>
    </row>
    <row r="44" spans="1:22" x14ac:dyDescent="0.25">
      <c r="A44" s="5" t="s">
        <v>72</v>
      </c>
      <c r="B44" s="6" t="s">
        <v>176</v>
      </c>
      <c r="C44" s="5" t="s">
        <v>153</v>
      </c>
      <c r="D44" s="5" t="s">
        <v>27</v>
      </c>
      <c r="E44" s="6" t="s">
        <v>165</v>
      </c>
      <c r="F44" s="12">
        <v>133</v>
      </c>
      <c r="G44" s="6" t="s">
        <v>123</v>
      </c>
      <c r="H44" s="6" t="s">
        <v>103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13">
        <v>2</v>
      </c>
      <c r="T44" s="13">
        <v>1</v>
      </c>
      <c r="U44" s="14">
        <v>266</v>
      </c>
      <c r="V44" s="7">
        <v>12</v>
      </c>
    </row>
    <row r="45" spans="1:22" x14ac:dyDescent="0.25">
      <c r="A45" s="5" t="s">
        <v>72</v>
      </c>
      <c r="B45" s="6"/>
      <c r="C45" s="5" t="s">
        <v>153</v>
      </c>
      <c r="D45" s="5" t="s">
        <v>156</v>
      </c>
      <c r="E45" s="6" t="s">
        <v>165</v>
      </c>
      <c r="F45" s="12">
        <v>133</v>
      </c>
      <c r="G45" s="6" t="s">
        <v>175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13">
        <v>1</v>
      </c>
      <c r="T45" s="13"/>
      <c r="U45" s="14">
        <v>133</v>
      </c>
      <c r="V45" s="7">
        <v>15</v>
      </c>
    </row>
    <row r="46" spans="1:22" x14ac:dyDescent="0.25">
      <c r="A46" s="5" t="s">
        <v>88</v>
      </c>
      <c r="B46" s="6" t="s">
        <v>177</v>
      </c>
      <c r="C46" s="5" t="s">
        <v>153</v>
      </c>
      <c r="D46" s="5" t="s">
        <v>27</v>
      </c>
      <c r="E46" s="6" t="s">
        <v>178</v>
      </c>
      <c r="F46" s="12">
        <v>80</v>
      </c>
      <c r="G46" s="6" t="s">
        <v>179</v>
      </c>
      <c r="H46" s="6" t="s">
        <v>180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13">
        <v>2</v>
      </c>
      <c r="T46" s="13">
        <v>1</v>
      </c>
      <c r="U46" s="14">
        <v>160</v>
      </c>
      <c r="V46" s="7">
        <v>21</v>
      </c>
    </row>
    <row r="47" spans="1:22" x14ac:dyDescent="0.25">
      <c r="A47" s="5" t="s">
        <v>88</v>
      </c>
      <c r="B47" s="6"/>
      <c r="C47" s="5" t="s">
        <v>153</v>
      </c>
      <c r="D47" s="5" t="s">
        <v>156</v>
      </c>
      <c r="E47" s="6" t="s">
        <v>178</v>
      </c>
      <c r="F47" s="12">
        <v>80</v>
      </c>
      <c r="G47" s="6" t="s">
        <v>181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13">
        <v>1</v>
      </c>
      <c r="T47" s="13"/>
      <c r="U47" s="14">
        <v>80</v>
      </c>
      <c r="V47" s="7">
        <v>15</v>
      </c>
    </row>
    <row r="48" spans="1:22" x14ac:dyDescent="0.25">
      <c r="A48" s="5" t="s">
        <v>94</v>
      </c>
      <c r="B48" s="6" t="s">
        <v>182</v>
      </c>
      <c r="C48" s="5" t="s">
        <v>153</v>
      </c>
      <c r="D48" s="5" t="s">
        <v>27</v>
      </c>
      <c r="E48" s="6" t="s">
        <v>174</v>
      </c>
      <c r="F48" s="12">
        <v>192</v>
      </c>
      <c r="G48" s="6" t="s">
        <v>183</v>
      </c>
      <c r="H48" s="6" t="s">
        <v>171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13">
        <v>2</v>
      </c>
      <c r="T48" s="13">
        <v>1</v>
      </c>
      <c r="U48" s="14">
        <v>384</v>
      </c>
      <c r="V48" s="7">
        <v>14</v>
      </c>
    </row>
    <row r="49" spans="1:22" x14ac:dyDescent="0.25">
      <c r="A49" s="5" t="s">
        <v>94</v>
      </c>
      <c r="B49" s="6"/>
      <c r="C49" s="5" t="s">
        <v>153</v>
      </c>
      <c r="D49" s="5" t="s">
        <v>156</v>
      </c>
      <c r="E49" s="6" t="s">
        <v>174</v>
      </c>
      <c r="F49" s="12">
        <v>192</v>
      </c>
      <c r="G49" s="6" t="s">
        <v>184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13">
        <v>1</v>
      </c>
      <c r="T49" s="13"/>
      <c r="U49" s="14">
        <v>192</v>
      </c>
      <c r="V49" s="7">
        <v>6</v>
      </c>
    </row>
    <row r="50" spans="1:22" x14ac:dyDescent="0.25">
      <c r="A50" s="5" t="s">
        <v>94</v>
      </c>
      <c r="B50" s="6" t="s">
        <v>185</v>
      </c>
      <c r="C50" s="5" t="s">
        <v>153</v>
      </c>
      <c r="D50" s="5" t="s">
        <v>27</v>
      </c>
      <c r="E50" s="6" t="s">
        <v>169</v>
      </c>
      <c r="F50" s="12">
        <v>227</v>
      </c>
      <c r="G50" s="6" t="s">
        <v>186</v>
      </c>
      <c r="H50" s="6" t="s">
        <v>56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13">
        <v>2</v>
      </c>
      <c r="T50" s="13">
        <v>1</v>
      </c>
      <c r="U50" s="14">
        <v>454</v>
      </c>
      <c r="V50" s="7">
        <v>7</v>
      </c>
    </row>
    <row r="51" spans="1:22" x14ac:dyDescent="0.25">
      <c r="A51" s="5" t="s">
        <v>94</v>
      </c>
      <c r="B51" s="6"/>
      <c r="C51" s="5" t="s">
        <v>153</v>
      </c>
      <c r="D51" s="5" t="s">
        <v>156</v>
      </c>
      <c r="E51" s="6" t="s">
        <v>169</v>
      </c>
      <c r="F51" s="12">
        <v>227</v>
      </c>
      <c r="G51" s="6" t="s">
        <v>187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13">
        <v>1</v>
      </c>
      <c r="T51" s="13"/>
      <c r="U51" s="14">
        <v>227</v>
      </c>
      <c r="V51" s="7">
        <v>1</v>
      </c>
    </row>
    <row r="52" spans="1:22" x14ac:dyDescent="0.25">
      <c r="A52" s="5" t="s">
        <v>94</v>
      </c>
      <c r="B52" s="6" t="s">
        <v>188</v>
      </c>
      <c r="C52" s="5" t="s">
        <v>153</v>
      </c>
      <c r="D52" s="5" t="s">
        <v>156</v>
      </c>
      <c r="E52" s="6" t="s">
        <v>189</v>
      </c>
      <c r="F52" s="12">
        <v>156</v>
      </c>
      <c r="G52" s="6" t="s">
        <v>155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13">
        <v>1</v>
      </c>
      <c r="T52" s="13">
        <v>1</v>
      </c>
      <c r="U52" s="14">
        <v>156</v>
      </c>
      <c r="V52" s="7">
        <v>1</v>
      </c>
    </row>
    <row r="53" spans="1:22" x14ac:dyDescent="0.25">
      <c r="A53" s="5" t="s">
        <v>94</v>
      </c>
      <c r="B53" s="6"/>
      <c r="C53" s="5" t="s">
        <v>153</v>
      </c>
      <c r="D53" s="5" t="s">
        <v>27</v>
      </c>
      <c r="E53" s="6" t="s">
        <v>189</v>
      </c>
      <c r="F53" s="12">
        <v>156</v>
      </c>
      <c r="G53" s="6" t="s">
        <v>132</v>
      </c>
      <c r="H53" s="6" t="s">
        <v>98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13">
        <v>2</v>
      </c>
      <c r="T53" s="13"/>
      <c r="U53" s="14">
        <v>312</v>
      </c>
      <c r="V53" s="7">
        <v>8</v>
      </c>
    </row>
    <row r="54" spans="1:22" x14ac:dyDescent="0.25">
      <c r="A54" s="5" t="s">
        <v>94</v>
      </c>
      <c r="B54" s="6" t="s">
        <v>190</v>
      </c>
      <c r="C54" s="5" t="s">
        <v>153</v>
      </c>
      <c r="D54" s="5" t="s">
        <v>27</v>
      </c>
      <c r="E54" s="6" t="s">
        <v>165</v>
      </c>
      <c r="F54" s="12">
        <v>109</v>
      </c>
      <c r="G54" s="6" t="s">
        <v>90</v>
      </c>
      <c r="H54" s="6" t="s">
        <v>191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13">
        <v>2</v>
      </c>
      <c r="T54" s="13">
        <v>1</v>
      </c>
      <c r="U54" s="14">
        <v>218</v>
      </c>
      <c r="V54" s="7">
        <v>13</v>
      </c>
    </row>
    <row r="55" spans="1:22" x14ac:dyDescent="0.25">
      <c r="A55" s="5" t="s">
        <v>94</v>
      </c>
      <c r="B55" s="6"/>
      <c r="C55" s="5" t="s">
        <v>153</v>
      </c>
      <c r="D55" s="5" t="s">
        <v>156</v>
      </c>
      <c r="E55" s="6" t="s">
        <v>165</v>
      </c>
      <c r="F55" s="12">
        <v>109</v>
      </c>
      <c r="G55" s="6" t="s">
        <v>61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13">
        <v>1</v>
      </c>
      <c r="T55" s="13"/>
      <c r="U55" s="14">
        <v>109</v>
      </c>
      <c r="V55" s="7">
        <v>3</v>
      </c>
    </row>
    <row r="56" spans="1:22" x14ac:dyDescent="0.25">
      <c r="A56" s="5" t="s">
        <v>94</v>
      </c>
      <c r="B56" s="6" t="s">
        <v>192</v>
      </c>
      <c r="C56" s="5" t="s">
        <v>153</v>
      </c>
      <c r="D56" s="5" t="s">
        <v>156</v>
      </c>
      <c r="E56" s="6" t="s">
        <v>174</v>
      </c>
      <c r="F56" s="6">
        <v>268</v>
      </c>
      <c r="G56" s="6" t="s">
        <v>298</v>
      </c>
      <c r="H56" s="6" t="s">
        <v>299</v>
      </c>
      <c r="I56" s="6" t="s">
        <v>267</v>
      </c>
      <c r="J56" s="6"/>
      <c r="K56" s="6"/>
      <c r="L56" s="6"/>
      <c r="M56" s="6"/>
      <c r="N56" s="6"/>
      <c r="O56" s="6"/>
      <c r="P56" s="6"/>
      <c r="Q56" s="6"/>
      <c r="R56" s="6"/>
      <c r="S56" s="5" t="s">
        <v>203</v>
      </c>
      <c r="T56" s="5" t="s">
        <v>32</v>
      </c>
      <c r="U56" s="7" t="s">
        <v>300</v>
      </c>
      <c r="V56" s="7" t="s">
        <v>301</v>
      </c>
    </row>
    <row r="57" spans="1:22" x14ac:dyDescent="0.25">
      <c r="A57" s="5" t="s">
        <v>94</v>
      </c>
      <c r="B57" s="6" t="s">
        <v>195</v>
      </c>
      <c r="C57" s="5" t="s">
        <v>153</v>
      </c>
      <c r="D57" s="5" t="s">
        <v>156</v>
      </c>
      <c r="E57" s="6" t="s">
        <v>189</v>
      </c>
      <c r="F57" s="12">
        <v>240</v>
      </c>
      <c r="G57" s="6" t="s">
        <v>196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13">
        <v>1</v>
      </c>
      <c r="T57" s="13">
        <v>1</v>
      </c>
      <c r="U57" s="14">
        <v>240</v>
      </c>
      <c r="V57" s="7">
        <v>0</v>
      </c>
    </row>
    <row r="58" spans="1:22" x14ac:dyDescent="0.25">
      <c r="A58" s="5" t="s">
        <v>94</v>
      </c>
      <c r="B58" s="6"/>
      <c r="C58" s="5" t="s">
        <v>153</v>
      </c>
      <c r="D58" s="5" t="s">
        <v>27</v>
      </c>
      <c r="E58" s="6" t="s">
        <v>189</v>
      </c>
      <c r="F58" s="12">
        <v>240</v>
      </c>
      <c r="G58" s="6" t="s">
        <v>197</v>
      </c>
      <c r="H58" s="6" t="s">
        <v>198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13">
        <v>2</v>
      </c>
      <c r="T58" s="13"/>
      <c r="U58" s="14">
        <v>480</v>
      </c>
      <c r="V58" s="7">
        <v>1</v>
      </c>
    </row>
    <row r="59" spans="1:22" x14ac:dyDescent="0.25">
      <c r="A59" s="5" t="s">
        <v>94</v>
      </c>
      <c r="B59" s="6" t="s">
        <v>199</v>
      </c>
      <c r="C59" s="5" t="s">
        <v>153</v>
      </c>
      <c r="D59" s="5" t="s">
        <v>27</v>
      </c>
      <c r="E59" s="6" t="s">
        <v>174</v>
      </c>
      <c r="F59" s="12">
        <v>310</v>
      </c>
      <c r="G59" s="6" t="s">
        <v>170</v>
      </c>
      <c r="H59" s="6" t="s">
        <v>171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13">
        <v>2</v>
      </c>
      <c r="T59" s="13">
        <v>1</v>
      </c>
      <c r="U59" s="14">
        <v>620</v>
      </c>
      <c r="V59" s="7">
        <v>8</v>
      </c>
    </row>
    <row r="60" spans="1:22" x14ac:dyDescent="0.25">
      <c r="A60" s="5" t="s">
        <v>94</v>
      </c>
      <c r="B60" s="6"/>
      <c r="C60" s="5" t="s">
        <v>153</v>
      </c>
      <c r="D60" s="5" t="s">
        <v>156</v>
      </c>
      <c r="E60" s="6" t="s">
        <v>174</v>
      </c>
      <c r="F60" s="12">
        <v>310</v>
      </c>
      <c r="G60" s="6" t="s">
        <v>172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13">
        <v>1</v>
      </c>
      <c r="T60" s="13"/>
      <c r="U60" s="14">
        <v>310</v>
      </c>
      <c r="V60" s="7">
        <v>2</v>
      </c>
    </row>
    <row r="61" spans="1:22" x14ac:dyDescent="0.25">
      <c r="A61" s="5" t="s">
        <v>94</v>
      </c>
      <c r="B61" s="6" t="s">
        <v>200</v>
      </c>
      <c r="C61" s="5" t="s">
        <v>153</v>
      </c>
      <c r="D61" s="5" t="s">
        <v>27</v>
      </c>
      <c r="E61" s="6" t="s">
        <v>174</v>
      </c>
      <c r="F61" s="12">
        <v>187</v>
      </c>
      <c r="G61" s="6" t="s">
        <v>123</v>
      </c>
      <c r="H61" s="6" t="s">
        <v>180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13">
        <v>2</v>
      </c>
      <c r="T61" s="13">
        <v>1</v>
      </c>
      <c r="U61" s="14">
        <v>374</v>
      </c>
      <c r="V61" s="7">
        <v>44</v>
      </c>
    </row>
    <row r="62" spans="1:22" x14ac:dyDescent="0.25">
      <c r="A62" s="5" t="s">
        <v>94</v>
      </c>
      <c r="B62" s="6"/>
      <c r="C62" s="5" t="s">
        <v>153</v>
      </c>
      <c r="D62" s="5" t="s">
        <v>156</v>
      </c>
      <c r="E62" s="6" t="s">
        <v>174</v>
      </c>
      <c r="F62" s="12">
        <v>187</v>
      </c>
      <c r="G62" s="6" t="s">
        <v>181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13">
        <v>1</v>
      </c>
      <c r="T62" s="13"/>
      <c r="U62" s="14">
        <v>187</v>
      </c>
      <c r="V62" s="7">
        <v>28</v>
      </c>
    </row>
    <row r="63" spans="1:22" x14ac:dyDescent="0.25">
      <c r="A63" s="5" t="s">
        <v>117</v>
      </c>
      <c r="B63" s="6" t="s">
        <v>201</v>
      </c>
      <c r="C63" s="5" t="s">
        <v>153</v>
      </c>
      <c r="D63" s="5" t="s">
        <v>156</v>
      </c>
      <c r="E63" s="6" t="s">
        <v>165</v>
      </c>
      <c r="F63" s="6">
        <v>150</v>
      </c>
      <c r="G63" s="6" t="s">
        <v>202</v>
      </c>
      <c r="H63" s="6" t="s">
        <v>172</v>
      </c>
      <c r="I63" s="6" t="s">
        <v>191</v>
      </c>
      <c r="J63" s="6"/>
      <c r="K63" s="6"/>
      <c r="L63" s="6"/>
      <c r="M63" s="6"/>
      <c r="N63" s="6"/>
      <c r="O63" s="6"/>
      <c r="P63" s="6"/>
      <c r="Q63" s="6"/>
      <c r="R63" s="6"/>
      <c r="S63" s="5" t="s">
        <v>203</v>
      </c>
      <c r="T63" s="5" t="s">
        <v>32</v>
      </c>
      <c r="U63" s="7" t="s">
        <v>125</v>
      </c>
      <c r="V63" s="7" t="s">
        <v>62</v>
      </c>
    </row>
    <row r="64" spans="1:22" x14ac:dyDescent="0.25">
      <c r="A64" s="5" t="s">
        <v>140</v>
      </c>
      <c r="B64" s="6" t="s">
        <v>204</v>
      </c>
      <c r="C64" s="5" t="s">
        <v>153</v>
      </c>
      <c r="D64" s="5" t="s">
        <v>27</v>
      </c>
      <c r="E64" s="6" t="s">
        <v>154</v>
      </c>
      <c r="F64" s="12">
        <v>282</v>
      </c>
      <c r="G64" s="6" t="s">
        <v>205</v>
      </c>
      <c r="H64" s="6" t="s">
        <v>37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13">
        <v>2</v>
      </c>
      <c r="T64" s="13">
        <v>1</v>
      </c>
      <c r="U64" s="14">
        <v>564</v>
      </c>
      <c r="V64" s="7">
        <v>7</v>
      </c>
    </row>
    <row r="65" spans="1:22" x14ac:dyDescent="0.25">
      <c r="A65" s="5" t="s">
        <v>140</v>
      </c>
      <c r="B65" s="6"/>
      <c r="C65" s="5" t="s">
        <v>153</v>
      </c>
      <c r="D65" s="5" t="s">
        <v>156</v>
      </c>
      <c r="E65" s="6" t="s">
        <v>154</v>
      </c>
      <c r="F65" s="12">
        <v>282</v>
      </c>
      <c r="G65" s="6" t="s">
        <v>91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13">
        <v>1</v>
      </c>
      <c r="T65" s="13"/>
      <c r="U65" s="14">
        <v>282</v>
      </c>
      <c r="V65" s="7">
        <v>1</v>
      </c>
    </row>
    <row r="66" spans="1:22" x14ac:dyDescent="0.25">
      <c r="A66" s="5" t="s">
        <v>140</v>
      </c>
      <c r="B66" s="6" t="s">
        <v>206</v>
      </c>
      <c r="C66" s="5" t="s">
        <v>153</v>
      </c>
      <c r="D66" s="5" t="s">
        <v>27</v>
      </c>
      <c r="E66" s="6" t="s">
        <v>165</v>
      </c>
      <c r="F66" s="12">
        <v>215</v>
      </c>
      <c r="G66" s="6" t="s">
        <v>155</v>
      </c>
      <c r="H66" s="6" t="s">
        <v>98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13">
        <v>2</v>
      </c>
      <c r="T66" s="13">
        <v>1</v>
      </c>
      <c r="U66" s="14">
        <v>430</v>
      </c>
      <c r="V66" s="7">
        <v>0</v>
      </c>
    </row>
    <row r="67" spans="1:22" x14ac:dyDescent="0.25">
      <c r="A67" s="5" t="s">
        <v>140</v>
      </c>
      <c r="B67" s="6"/>
      <c r="C67" s="5" t="s">
        <v>153</v>
      </c>
      <c r="D67" s="5" t="s">
        <v>156</v>
      </c>
      <c r="E67" s="6" t="s">
        <v>165</v>
      </c>
      <c r="F67" s="12">
        <v>215</v>
      </c>
      <c r="G67" s="6" t="s">
        <v>132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13">
        <v>1</v>
      </c>
      <c r="T67" s="13"/>
      <c r="U67" s="14">
        <v>215</v>
      </c>
      <c r="V67" s="7">
        <v>0</v>
      </c>
    </row>
    <row r="68" spans="1:22" x14ac:dyDescent="0.25">
      <c r="A68" s="8">
        <f>COUNTA(B32:B67)</f>
      </c>
      <c r="B68" s="9" t="s">
        <v>207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">
        <v>208</v>
      </c>
      <c r="T68" s="9">
        <f>COUNTA(T32:T67)</f>
      </c>
      <c r="U68" s="10" t="s">
        <v>209</v>
      </c>
      <c r="V68" s="11" t="s">
        <v>302</v>
      </c>
    </row>
    <row r="69" spans="1:22" x14ac:dyDescent="0.25">
      <c r="A69" s="5" t="s">
        <v>24</v>
      </c>
      <c r="B69" s="6" t="s">
        <v>211</v>
      </c>
      <c r="C69" s="5" t="s">
        <v>153</v>
      </c>
      <c r="D69" s="5" t="s">
        <v>27</v>
      </c>
      <c r="E69" s="6" t="s">
        <v>212</v>
      </c>
      <c r="F69" s="6">
        <v>218</v>
      </c>
      <c r="G69" s="6" t="s">
        <v>29</v>
      </c>
      <c r="H69" s="6" t="s">
        <v>191</v>
      </c>
      <c r="I69" s="6" t="s">
        <v>213</v>
      </c>
      <c r="J69" s="6"/>
      <c r="K69" s="6"/>
      <c r="L69" s="6"/>
      <c r="M69" s="6"/>
      <c r="N69" s="6"/>
      <c r="O69" s="6"/>
      <c r="P69" s="6"/>
      <c r="Q69" s="6"/>
      <c r="R69" s="6"/>
      <c r="S69" s="5" t="s">
        <v>203</v>
      </c>
      <c r="T69" s="5" t="s">
        <v>32</v>
      </c>
      <c r="U69" s="7" t="s">
        <v>214</v>
      </c>
      <c r="V69" s="7" t="s">
        <v>303</v>
      </c>
    </row>
    <row r="70" spans="1:22" x14ac:dyDescent="0.25">
      <c r="A70" s="5" t="s">
        <v>24</v>
      </c>
      <c r="B70" s="6" t="s">
        <v>216</v>
      </c>
      <c r="C70" s="5" t="s">
        <v>153</v>
      </c>
      <c r="D70" s="5" t="s">
        <v>27</v>
      </c>
      <c r="E70" s="6" t="s">
        <v>217</v>
      </c>
      <c r="F70" s="6">
        <v>290</v>
      </c>
      <c r="G70" s="6" t="s">
        <v>166</v>
      </c>
      <c r="H70" s="6" t="s">
        <v>218</v>
      </c>
      <c r="I70" s="6" t="s">
        <v>219</v>
      </c>
      <c r="J70" s="6"/>
      <c r="K70" s="6"/>
      <c r="L70" s="6"/>
      <c r="M70" s="6"/>
      <c r="N70" s="6"/>
      <c r="O70" s="6"/>
      <c r="P70" s="6"/>
      <c r="Q70" s="6"/>
      <c r="R70" s="6"/>
      <c r="S70" s="5" t="s">
        <v>203</v>
      </c>
      <c r="T70" s="5" t="s">
        <v>32</v>
      </c>
      <c r="U70" s="7" t="s">
        <v>220</v>
      </c>
      <c r="V70" s="7" t="s">
        <v>304</v>
      </c>
    </row>
    <row r="71" spans="1:22" x14ac:dyDescent="0.25">
      <c r="A71" s="5" t="s">
        <v>24</v>
      </c>
      <c r="B71" s="6" t="s">
        <v>222</v>
      </c>
      <c r="C71" s="5" t="s">
        <v>153</v>
      </c>
      <c r="D71" s="5" t="s">
        <v>27</v>
      </c>
      <c r="E71" s="6" t="s">
        <v>217</v>
      </c>
      <c r="F71" s="6">
        <v>285</v>
      </c>
      <c r="G71" s="6" t="s">
        <v>305</v>
      </c>
      <c r="H71" s="6" t="s">
        <v>306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5" t="s">
        <v>31</v>
      </c>
      <c r="T71" s="5" t="s">
        <v>32</v>
      </c>
      <c r="U71" s="7" t="s">
        <v>307</v>
      </c>
      <c r="V71" s="7" t="s">
        <v>251</v>
      </c>
    </row>
    <row r="72" spans="1:22" x14ac:dyDescent="0.25">
      <c r="A72" s="5" t="s">
        <v>24</v>
      </c>
      <c r="B72" s="6" t="s">
        <v>226</v>
      </c>
      <c r="C72" s="5" t="s">
        <v>153</v>
      </c>
      <c r="D72" s="5" t="s">
        <v>27</v>
      </c>
      <c r="E72" s="6" t="s">
        <v>217</v>
      </c>
      <c r="F72" s="6">
        <v>275</v>
      </c>
      <c r="G72" s="6" t="s">
        <v>110</v>
      </c>
      <c r="H72" s="6" t="s">
        <v>197</v>
      </c>
      <c r="I72" s="6" t="s">
        <v>198</v>
      </c>
      <c r="J72" s="6"/>
      <c r="K72" s="6"/>
      <c r="L72" s="6"/>
      <c r="M72" s="6"/>
      <c r="N72" s="6"/>
      <c r="O72" s="6"/>
      <c r="P72" s="6"/>
      <c r="Q72" s="6"/>
      <c r="R72" s="6"/>
      <c r="S72" s="5" t="s">
        <v>203</v>
      </c>
      <c r="T72" s="5" t="s">
        <v>32</v>
      </c>
      <c r="U72" s="7" t="s">
        <v>228</v>
      </c>
      <c r="V72" s="7" t="s">
        <v>308</v>
      </c>
    </row>
    <row r="73" spans="1:22" x14ac:dyDescent="0.25">
      <c r="A73" s="5" t="s">
        <v>24</v>
      </c>
      <c r="B73" s="6" t="s">
        <v>230</v>
      </c>
      <c r="C73" s="5" t="s">
        <v>153</v>
      </c>
      <c r="D73" s="5" t="s">
        <v>27</v>
      </c>
      <c r="E73" s="6" t="s">
        <v>217</v>
      </c>
      <c r="F73" s="6">
        <v>254</v>
      </c>
      <c r="G73" s="6" t="s">
        <v>160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5" t="s">
        <v>32</v>
      </c>
      <c r="T73" s="5" t="s">
        <v>32</v>
      </c>
      <c r="U73" s="7" t="s">
        <v>309</v>
      </c>
      <c r="V73" s="7" t="s">
        <v>285</v>
      </c>
    </row>
    <row r="74" spans="1:22" x14ac:dyDescent="0.25">
      <c r="A74" s="5" t="s">
        <v>24</v>
      </c>
      <c r="B74" s="6" t="s">
        <v>236</v>
      </c>
      <c r="C74" s="5" t="s">
        <v>153</v>
      </c>
      <c r="D74" s="5" t="s">
        <v>27</v>
      </c>
      <c r="E74" s="6" t="s">
        <v>217</v>
      </c>
      <c r="F74" s="6">
        <v>336</v>
      </c>
      <c r="G74" s="6" t="s">
        <v>310</v>
      </c>
      <c r="H74" s="6" t="s">
        <v>237</v>
      </c>
      <c r="I74" s="6" t="s">
        <v>238</v>
      </c>
      <c r="J74" s="6"/>
      <c r="K74" s="6"/>
      <c r="L74" s="6"/>
      <c r="M74" s="6"/>
      <c r="N74" s="6"/>
      <c r="O74" s="6"/>
      <c r="P74" s="6"/>
      <c r="Q74" s="6"/>
      <c r="R74" s="6"/>
      <c r="S74" s="5" t="s">
        <v>203</v>
      </c>
      <c r="T74" s="5" t="s">
        <v>32</v>
      </c>
      <c r="U74" s="7" t="s">
        <v>239</v>
      </c>
      <c r="V74" s="7" t="s">
        <v>62</v>
      </c>
    </row>
    <row r="75" spans="1:22" x14ac:dyDescent="0.25">
      <c r="A75" s="5" t="s">
        <v>88</v>
      </c>
      <c r="B75" s="6" t="s">
        <v>241</v>
      </c>
      <c r="C75" s="5" t="s">
        <v>153</v>
      </c>
      <c r="D75" s="5" t="s">
        <v>27</v>
      </c>
      <c r="E75" s="6" t="s">
        <v>217</v>
      </c>
      <c r="F75" s="6">
        <v>213</v>
      </c>
      <c r="G75" s="6" t="s">
        <v>41</v>
      </c>
      <c r="H75" s="6" t="s">
        <v>311</v>
      </c>
      <c r="I75" s="6" t="s">
        <v>181</v>
      </c>
      <c r="J75" s="6"/>
      <c r="K75" s="6"/>
      <c r="L75" s="6"/>
      <c r="M75" s="6"/>
      <c r="N75" s="6"/>
      <c r="O75" s="6"/>
      <c r="P75" s="6"/>
      <c r="Q75" s="6"/>
      <c r="R75" s="6"/>
      <c r="S75" s="5" t="s">
        <v>203</v>
      </c>
      <c r="T75" s="5" t="s">
        <v>32</v>
      </c>
      <c r="U75" s="7" t="s">
        <v>243</v>
      </c>
      <c r="V75" s="7" t="s">
        <v>312</v>
      </c>
    </row>
    <row r="76" spans="1:22" x14ac:dyDescent="0.25">
      <c r="A76" s="5" t="s">
        <v>94</v>
      </c>
      <c r="B76" s="6" t="s">
        <v>245</v>
      </c>
      <c r="C76" s="5" t="s">
        <v>153</v>
      </c>
      <c r="D76" s="5" t="s">
        <v>27</v>
      </c>
      <c r="E76" s="6" t="s">
        <v>212</v>
      </c>
      <c r="F76" s="6">
        <v>145</v>
      </c>
      <c r="G76" s="6" t="s">
        <v>29</v>
      </c>
      <c r="H76" s="6" t="s">
        <v>69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5" t="s">
        <v>31</v>
      </c>
      <c r="T76" s="5" t="s">
        <v>32</v>
      </c>
      <c r="U76" s="7" t="s">
        <v>246</v>
      </c>
      <c r="V76" s="7" t="s">
        <v>313</v>
      </c>
    </row>
    <row r="77" spans="1:22" x14ac:dyDescent="0.25">
      <c r="A77" s="5" t="s">
        <v>94</v>
      </c>
      <c r="B77" s="6" t="s">
        <v>248</v>
      </c>
      <c r="C77" s="5" t="s">
        <v>153</v>
      </c>
      <c r="D77" s="5" t="s">
        <v>27</v>
      </c>
      <c r="E77" s="6" t="s">
        <v>212</v>
      </c>
      <c r="F77" s="6">
        <v>318</v>
      </c>
      <c r="G77" s="6" t="s">
        <v>314</v>
      </c>
      <c r="H77" s="6" t="s">
        <v>132</v>
      </c>
      <c r="I77" s="6" t="s">
        <v>315</v>
      </c>
      <c r="J77" s="6"/>
      <c r="K77" s="6"/>
      <c r="L77" s="6"/>
      <c r="M77" s="6"/>
      <c r="N77" s="6"/>
      <c r="O77" s="6"/>
      <c r="P77" s="6"/>
      <c r="Q77" s="6"/>
      <c r="R77" s="6"/>
      <c r="S77" s="5" t="s">
        <v>203</v>
      </c>
      <c r="T77" s="5" t="s">
        <v>32</v>
      </c>
      <c r="U77" s="7" t="s">
        <v>316</v>
      </c>
      <c r="V77" s="7" t="s">
        <v>62</v>
      </c>
    </row>
    <row r="78" spans="1:22" x14ac:dyDescent="0.25">
      <c r="A78" s="5" t="s">
        <v>117</v>
      </c>
      <c r="B78" s="6" t="s">
        <v>259</v>
      </c>
      <c r="C78" s="5" t="s">
        <v>153</v>
      </c>
      <c r="D78" s="5" t="s">
        <v>27</v>
      </c>
      <c r="E78" s="6" t="s">
        <v>217</v>
      </c>
      <c r="F78" s="6">
        <v>313</v>
      </c>
      <c r="G78" s="6" t="s">
        <v>46</v>
      </c>
      <c r="H78" s="6" t="s">
        <v>47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5" t="s">
        <v>31</v>
      </c>
      <c r="T78" s="5" t="s">
        <v>32</v>
      </c>
      <c r="U78" s="7" t="s">
        <v>317</v>
      </c>
      <c r="V78" s="7" t="s">
        <v>235</v>
      </c>
    </row>
    <row r="79" spans="1:22" x14ac:dyDescent="0.25">
      <c r="A79" s="5" t="s">
        <v>117</v>
      </c>
      <c r="B79" s="6" t="s">
        <v>265</v>
      </c>
      <c r="C79" s="5" t="s">
        <v>153</v>
      </c>
      <c r="D79" s="5" t="s">
        <v>27</v>
      </c>
      <c r="E79" s="6" t="s">
        <v>266</v>
      </c>
      <c r="F79" s="6">
        <v>138</v>
      </c>
      <c r="G79" s="6" t="s">
        <v>29</v>
      </c>
      <c r="H79" s="6" t="s">
        <v>30</v>
      </c>
      <c r="I79" s="6" t="s">
        <v>213</v>
      </c>
      <c r="J79" s="6"/>
      <c r="K79" s="6"/>
      <c r="L79" s="6"/>
      <c r="M79" s="6"/>
      <c r="N79" s="6"/>
      <c r="O79" s="6"/>
      <c r="P79" s="6"/>
      <c r="Q79" s="6"/>
      <c r="R79" s="6"/>
      <c r="S79" s="5" t="s">
        <v>203</v>
      </c>
      <c r="T79" s="5" t="s">
        <v>32</v>
      </c>
      <c r="U79" s="7" t="s">
        <v>270</v>
      </c>
      <c r="V79" s="7" t="s">
        <v>283</v>
      </c>
    </row>
    <row r="80" spans="1:22" x14ac:dyDescent="0.25">
      <c r="A80" s="8">
        <f>COUNTA(B69:B79)</f>
      </c>
      <c r="B80" s="9" t="s">
        <v>272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 t="s">
        <v>318</v>
      </c>
      <c r="T80" s="9">
        <f>COUNTA(T69:T79)</f>
      </c>
      <c r="U80" s="10" t="s">
        <v>319</v>
      </c>
      <c r="V80" s="11" t="s">
        <v>320</v>
      </c>
    </row>
    <row r="81" spans="1:22" x14ac:dyDescent="0.25">
      <c r="A81" s="15">
        <v>56</v>
      </c>
      <c r="B81" s="15" t="s">
        <v>276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 t="s">
        <v>321</v>
      </c>
      <c r="T81" s="15">
        <f>COUNTA(T5:T30,T32:T67,T69:T79)</f>
      </c>
      <c r="U81" s="16" t="s">
        <v>322</v>
      </c>
      <c r="V81" s="16" t="s">
        <v>323</v>
      </c>
    </row>
  </sheetData>
  <mergeCells count="40">
    <mergeCell ref="A2:V2"/>
    <mergeCell ref="A3:K3"/>
    <mergeCell ref="B31:R31"/>
    <mergeCell ref="B32:B33"/>
    <mergeCell ref="T32:T33"/>
    <mergeCell ref="B34:B35"/>
    <mergeCell ref="T34:T35"/>
    <mergeCell ref="B36:B37"/>
    <mergeCell ref="T36:T37"/>
    <mergeCell ref="B38:B39"/>
    <mergeCell ref="T38:T39"/>
    <mergeCell ref="B40:B41"/>
    <mergeCell ref="T40:T41"/>
    <mergeCell ref="B42:B43"/>
    <mergeCell ref="T42:T43"/>
    <mergeCell ref="B44:B45"/>
    <mergeCell ref="T44:T45"/>
    <mergeCell ref="B46:B47"/>
    <mergeCell ref="T46:T47"/>
    <mergeCell ref="B48:B49"/>
    <mergeCell ref="T48:T49"/>
    <mergeCell ref="B50:B51"/>
    <mergeCell ref="T50:T51"/>
    <mergeCell ref="B52:B53"/>
    <mergeCell ref="T52:T53"/>
    <mergeCell ref="B54:B55"/>
    <mergeCell ref="T54:T55"/>
    <mergeCell ref="B57:B58"/>
    <mergeCell ref="T57:T58"/>
    <mergeCell ref="B59:B60"/>
    <mergeCell ref="T59:T60"/>
    <mergeCell ref="B61:B62"/>
    <mergeCell ref="T61:T62"/>
    <mergeCell ref="B64:B65"/>
    <mergeCell ref="T64:T65"/>
    <mergeCell ref="B66:B67"/>
    <mergeCell ref="T66:T67"/>
    <mergeCell ref="B68:R68"/>
    <mergeCell ref="B80:R80"/>
    <mergeCell ref="B81:R8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73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30" customWidth="1"/>
    <col min="3" max="3" width="5" customWidth="1"/>
    <col min="5" max="5" width="16" customWidth="1"/>
    <col min="7" max="18" width="5" customWidth="1"/>
    <col min="21" max="22" width="15" customWidth="1"/>
  </cols>
  <sheetData>
    <row r="2" ht="40" customHeight="1" spans="1:22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11" x14ac:dyDescent="0.25">
      <c r="A3" s="2" t="s">
        <v>324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22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4" t="s">
        <v>22</v>
      </c>
      <c r="V4" s="4" t="s">
        <v>23</v>
      </c>
    </row>
    <row r="5" spans="1:22" x14ac:dyDescent="0.25">
      <c r="A5" s="5" t="s">
        <v>24</v>
      </c>
      <c r="B5" s="6" t="s">
        <v>25</v>
      </c>
      <c r="C5" s="5" t="s">
        <v>26</v>
      </c>
      <c r="D5" s="5" t="s">
        <v>27</v>
      </c>
      <c r="E5" s="6" t="s">
        <v>28</v>
      </c>
      <c r="F5" s="6">
        <v>282</v>
      </c>
      <c r="G5" s="6" t="s">
        <v>29</v>
      </c>
      <c r="H5" s="6" t="s">
        <v>30</v>
      </c>
      <c r="I5" s="6"/>
      <c r="J5" s="6"/>
      <c r="K5" s="6"/>
      <c r="L5" s="6"/>
      <c r="M5" s="6"/>
      <c r="N5" s="6"/>
      <c r="O5" s="6"/>
      <c r="P5" s="6"/>
      <c r="Q5" s="6"/>
      <c r="R5" s="6"/>
      <c r="S5" s="5" t="s">
        <v>31</v>
      </c>
      <c r="T5" s="5" t="s">
        <v>32</v>
      </c>
      <c r="U5" s="7" t="s">
        <v>33</v>
      </c>
      <c r="V5" s="7" t="s">
        <v>325</v>
      </c>
    </row>
    <row r="6" spans="1:22" x14ac:dyDescent="0.25">
      <c r="A6" s="5" t="s">
        <v>24</v>
      </c>
      <c r="B6" s="6" t="s">
        <v>35</v>
      </c>
      <c r="C6" s="5" t="s">
        <v>26</v>
      </c>
      <c r="D6" s="5" t="s">
        <v>27</v>
      </c>
      <c r="E6" s="6" t="s">
        <v>28</v>
      </c>
      <c r="F6" s="6">
        <v>246</v>
      </c>
      <c r="G6" s="6" t="s">
        <v>36</v>
      </c>
      <c r="H6" s="6" t="s">
        <v>37</v>
      </c>
      <c r="I6" s="6"/>
      <c r="J6" s="6"/>
      <c r="K6" s="6"/>
      <c r="L6" s="6"/>
      <c r="M6" s="6"/>
      <c r="N6" s="6"/>
      <c r="O6" s="6"/>
      <c r="P6" s="6"/>
      <c r="Q6" s="6"/>
      <c r="R6" s="6"/>
      <c r="S6" s="5" t="s">
        <v>31</v>
      </c>
      <c r="T6" s="5" t="s">
        <v>32</v>
      </c>
      <c r="U6" s="7" t="s">
        <v>38</v>
      </c>
      <c r="V6" s="7" t="s">
        <v>326</v>
      </c>
    </row>
    <row r="7" spans="1:22" x14ac:dyDescent="0.25">
      <c r="A7" s="5" t="s">
        <v>24</v>
      </c>
      <c r="B7" s="6" t="s">
        <v>40</v>
      </c>
      <c r="C7" s="5" t="s">
        <v>26</v>
      </c>
      <c r="D7" s="5" t="s">
        <v>27</v>
      </c>
      <c r="E7" s="6" t="s">
        <v>28</v>
      </c>
      <c r="F7" s="6">
        <v>346</v>
      </c>
      <c r="G7" s="6" t="s">
        <v>41</v>
      </c>
      <c r="H7" s="6" t="s">
        <v>42</v>
      </c>
      <c r="I7" s="6"/>
      <c r="J7" s="6"/>
      <c r="K7" s="6"/>
      <c r="L7" s="6"/>
      <c r="M7" s="6"/>
      <c r="N7" s="6"/>
      <c r="O7" s="6"/>
      <c r="P7" s="6"/>
      <c r="Q7" s="6"/>
      <c r="R7" s="6"/>
      <c r="S7" s="5" t="s">
        <v>31</v>
      </c>
      <c r="T7" s="5" t="s">
        <v>32</v>
      </c>
      <c r="U7" s="7" t="s">
        <v>43</v>
      </c>
      <c r="V7" s="7" t="s">
        <v>31</v>
      </c>
    </row>
    <row r="8" spans="1:22" x14ac:dyDescent="0.25">
      <c r="A8" s="5" t="s">
        <v>24</v>
      </c>
      <c r="B8" s="6" t="s">
        <v>45</v>
      </c>
      <c r="C8" s="5" t="s">
        <v>26</v>
      </c>
      <c r="D8" s="5" t="s">
        <v>27</v>
      </c>
      <c r="E8" s="6" t="s">
        <v>28</v>
      </c>
      <c r="F8" s="6">
        <v>266</v>
      </c>
      <c r="G8" s="6" t="s">
        <v>46</v>
      </c>
      <c r="H8" s="6" t="s">
        <v>47</v>
      </c>
      <c r="I8" s="6"/>
      <c r="J8" s="6"/>
      <c r="K8" s="6"/>
      <c r="L8" s="6"/>
      <c r="M8" s="6"/>
      <c r="N8" s="6"/>
      <c r="O8" s="6"/>
      <c r="P8" s="6"/>
      <c r="Q8" s="6"/>
      <c r="R8" s="6"/>
      <c r="S8" s="5" t="s">
        <v>31</v>
      </c>
      <c r="T8" s="5" t="s">
        <v>32</v>
      </c>
      <c r="U8" s="7" t="s">
        <v>48</v>
      </c>
      <c r="V8" s="7" t="s">
        <v>251</v>
      </c>
    </row>
    <row r="9" spans="1:22" x14ac:dyDescent="0.25">
      <c r="A9" s="5" t="s">
        <v>24</v>
      </c>
      <c r="B9" s="6" t="s">
        <v>50</v>
      </c>
      <c r="C9" s="5" t="s">
        <v>26</v>
      </c>
      <c r="D9" s="5" t="s">
        <v>27</v>
      </c>
      <c r="E9" s="6" t="s">
        <v>28</v>
      </c>
      <c r="F9" s="6">
        <v>321</v>
      </c>
      <c r="G9" s="6" t="s">
        <v>51</v>
      </c>
      <c r="H9" s="6" t="s">
        <v>30</v>
      </c>
      <c r="I9" s="6"/>
      <c r="J9" s="6"/>
      <c r="K9" s="6"/>
      <c r="L9" s="6"/>
      <c r="M9" s="6"/>
      <c r="N9" s="6"/>
      <c r="O9" s="6"/>
      <c r="P9" s="6"/>
      <c r="Q9" s="6"/>
      <c r="R9" s="6"/>
      <c r="S9" s="5" t="s">
        <v>31</v>
      </c>
      <c r="T9" s="5" t="s">
        <v>32</v>
      </c>
      <c r="U9" s="7" t="s">
        <v>52</v>
      </c>
      <c r="V9" s="7" t="s">
        <v>327</v>
      </c>
    </row>
    <row r="10" spans="1:22" x14ac:dyDescent="0.25">
      <c r="A10" s="5" t="s">
        <v>24</v>
      </c>
      <c r="B10" s="6" t="s">
        <v>59</v>
      </c>
      <c r="C10" s="5" t="s">
        <v>26</v>
      </c>
      <c r="D10" s="5" t="s">
        <v>27</v>
      </c>
      <c r="E10" s="6" t="s">
        <v>28</v>
      </c>
      <c r="F10" s="6">
        <v>321</v>
      </c>
      <c r="G10" s="6" t="s">
        <v>284</v>
      </c>
      <c r="H10" s="6" t="s">
        <v>61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5" t="s">
        <v>31</v>
      </c>
      <c r="T10" s="5" t="s">
        <v>32</v>
      </c>
      <c r="U10" s="7" t="s">
        <v>52</v>
      </c>
      <c r="V10" s="7" t="s">
        <v>285</v>
      </c>
    </row>
    <row r="11" spans="1:22" x14ac:dyDescent="0.25">
      <c r="A11" s="5" t="s">
        <v>24</v>
      </c>
      <c r="B11" s="6" t="s">
        <v>63</v>
      </c>
      <c r="C11" s="5" t="s">
        <v>26</v>
      </c>
      <c r="D11" s="5" t="s">
        <v>27</v>
      </c>
      <c r="E11" s="6" t="s">
        <v>28</v>
      </c>
      <c r="F11" s="6">
        <v>297</v>
      </c>
      <c r="G11" s="6" t="s">
        <v>64</v>
      </c>
      <c r="H11" s="6" t="s">
        <v>65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5" t="s">
        <v>31</v>
      </c>
      <c r="T11" s="5" t="s">
        <v>32</v>
      </c>
      <c r="U11" s="7" t="s">
        <v>66</v>
      </c>
      <c r="V11" s="7" t="s">
        <v>282</v>
      </c>
    </row>
    <row r="12" spans="1:22" x14ac:dyDescent="0.25">
      <c r="A12" s="5" t="s">
        <v>24</v>
      </c>
      <c r="B12" s="6" t="s">
        <v>68</v>
      </c>
      <c r="C12" s="5" t="s">
        <v>26</v>
      </c>
      <c r="D12" s="5" t="s">
        <v>27</v>
      </c>
      <c r="E12" s="6" t="s">
        <v>28</v>
      </c>
      <c r="F12" s="6">
        <v>228</v>
      </c>
      <c r="G12" s="6" t="s">
        <v>29</v>
      </c>
      <c r="H12" s="6" t="s">
        <v>30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5" t="s">
        <v>31</v>
      </c>
      <c r="T12" s="5" t="s">
        <v>32</v>
      </c>
      <c r="U12" s="7" t="s">
        <v>70</v>
      </c>
      <c r="V12" s="7" t="s">
        <v>293</v>
      </c>
    </row>
    <row r="13" spans="1:22" x14ac:dyDescent="0.25">
      <c r="A13" s="5" t="s">
        <v>72</v>
      </c>
      <c r="B13" s="6" t="s">
        <v>73</v>
      </c>
      <c r="C13" s="5" t="s">
        <v>26</v>
      </c>
      <c r="D13" s="5" t="s">
        <v>27</v>
      </c>
      <c r="E13" s="6" t="s">
        <v>28</v>
      </c>
      <c r="F13" s="6">
        <v>358</v>
      </c>
      <c r="G13" s="6" t="s">
        <v>74</v>
      </c>
      <c r="H13" s="6" t="s">
        <v>30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5" t="s">
        <v>31</v>
      </c>
      <c r="T13" s="5" t="s">
        <v>32</v>
      </c>
      <c r="U13" s="7" t="s">
        <v>75</v>
      </c>
      <c r="V13" s="7" t="s">
        <v>121</v>
      </c>
    </row>
    <row r="14" spans="1:22" x14ac:dyDescent="0.25">
      <c r="A14" s="5" t="s">
        <v>72</v>
      </c>
      <c r="B14" s="6" t="s">
        <v>77</v>
      </c>
      <c r="C14" s="5" t="s">
        <v>26</v>
      </c>
      <c r="D14" s="5" t="s">
        <v>27</v>
      </c>
      <c r="E14" s="6" t="s">
        <v>28</v>
      </c>
      <c r="F14" s="6">
        <v>422</v>
      </c>
      <c r="G14" s="6" t="s">
        <v>78</v>
      </c>
      <c r="H14" s="6" t="s">
        <v>79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5" t="s">
        <v>31</v>
      </c>
      <c r="T14" s="5" t="s">
        <v>32</v>
      </c>
      <c r="U14" s="7" t="s">
        <v>80</v>
      </c>
      <c r="V14" s="7" t="s">
        <v>139</v>
      </c>
    </row>
    <row r="15" spans="1:22" x14ac:dyDescent="0.25">
      <c r="A15" s="5" t="s">
        <v>72</v>
      </c>
      <c r="B15" s="6" t="s">
        <v>82</v>
      </c>
      <c r="C15" s="5" t="s">
        <v>26</v>
      </c>
      <c r="D15" s="5" t="s">
        <v>27</v>
      </c>
      <c r="E15" s="6" t="s">
        <v>83</v>
      </c>
      <c r="F15" s="6">
        <v>441</v>
      </c>
      <c r="G15" s="6" t="s">
        <v>74</v>
      </c>
      <c r="H15" s="6" t="s">
        <v>30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5" t="s">
        <v>31</v>
      </c>
      <c r="T15" s="5" t="s">
        <v>32</v>
      </c>
      <c r="U15" s="7" t="s">
        <v>84</v>
      </c>
      <c r="V15" s="7" t="s">
        <v>121</v>
      </c>
    </row>
    <row r="16" spans="1:22" x14ac:dyDescent="0.25">
      <c r="A16" s="5" t="s">
        <v>88</v>
      </c>
      <c r="B16" s="6" t="s">
        <v>89</v>
      </c>
      <c r="C16" s="5" t="s">
        <v>26</v>
      </c>
      <c r="D16" s="5" t="s">
        <v>27</v>
      </c>
      <c r="E16" s="6" t="s">
        <v>28</v>
      </c>
      <c r="F16" s="6">
        <v>241</v>
      </c>
      <c r="G16" s="6" t="s">
        <v>64</v>
      </c>
      <c r="H16" s="6" t="s">
        <v>171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5" t="s">
        <v>31</v>
      </c>
      <c r="T16" s="5" t="s">
        <v>32</v>
      </c>
      <c r="U16" s="7" t="s">
        <v>92</v>
      </c>
      <c r="V16" s="7" t="s">
        <v>62</v>
      </c>
    </row>
    <row r="17" spans="1:22" x14ac:dyDescent="0.25">
      <c r="A17" s="5" t="s">
        <v>94</v>
      </c>
      <c r="B17" s="6" t="s">
        <v>95</v>
      </c>
      <c r="C17" s="5" t="s">
        <v>26</v>
      </c>
      <c r="D17" s="5" t="s">
        <v>27</v>
      </c>
      <c r="E17" s="6" t="s">
        <v>96</v>
      </c>
      <c r="F17" s="6">
        <v>180</v>
      </c>
      <c r="G17" s="6" t="s">
        <v>97</v>
      </c>
      <c r="H17" s="6" t="s">
        <v>98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5" t="s">
        <v>31</v>
      </c>
      <c r="T17" s="5" t="s">
        <v>32</v>
      </c>
      <c r="U17" s="7" t="s">
        <v>99</v>
      </c>
      <c r="V17" s="7" t="s">
        <v>328</v>
      </c>
    </row>
    <row r="18" spans="1:22" x14ac:dyDescent="0.25">
      <c r="A18" s="5" t="s">
        <v>94</v>
      </c>
      <c r="B18" s="6" t="s">
        <v>106</v>
      </c>
      <c r="C18" s="5" t="s">
        <v>26</v>
      </c>
      <c r="D18" s="5" t="s">
        <v>27</v>
      </c>
      <c r="E18" s="6" t="s">
        <v>28</v>
      </c>
      <c r="F18" s="6">
        <v>268</v>
      </c>
      <c r="G18" s="6" t="s">
        <v>41</v>
      </c>
      <c r="H18" s="6" t="s">
        <v>30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5" t="s">
        <v>31</v>
      </c>
      <c r="T18" s="5" t="s">
        <v>32</v>
      </c>
      <c r="U18" s="7" t="s">
        <v>107</v>
      </c>
      <c r="V18" s="7" t="s">
        <v>329</v>
      </c>
    </row>
    <row r="19" spans="1:22" x14ac:dyDescent="0.25">
      <c r="A19" s="5" t="s">
        <v>94</v>
      </c>
      <c r="B19" s="6" t="s">
        <v>109</v>
      </c>
      <c r="C19" s="5" t="s">
        <v>26</v>
      </c>
      <c r="D19" s="5" t="s">
        <v>27</v>
      </c>
      <c r="E19" s="6" t="s">
        <v>28</v>
      </c>
      <c r="F19" s="6">
        <v>624</v>
      </c>
      <c r="G19" s="6" t="s">
        <v>110</v>
      </c>
      <c r="H19" s="6" t="s">
        <v>136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5" t="s">
        <v>31</v>
      </c>
      <c r="T19" s="5" t="s">
        <v>32</v>
      </c>
      <c r="U19" s="7" t="s">
        <v>112</v>
      </c>
      <c r="V19" s="7" t="s">
        <v>330</v>
      </c>
    </row>
    <row r="20" spans="1:22" x14ac:dyDescent="0.25">
      <c r="A20" s="5" t="s">
        <v>94</v>
      </c>
      <c r="B20" s="6" t="s">
        <v>114</v>
      </c>
      <c r="C20" s="5" t="s">
        <v>26</v>
      </c>
      <c r="D20" s="5" t="s">
        <v>27</v>
      </c>
      <c r="E20" s="6" t="s">
        <v>28</v>
      </c>
      <c r="F20" s="6">
        <v>323</v>
      </c>
      <c r="G20" s="6" t="s">
        <v>29</v>
      </c>
      <c r="H20" s="6" t="s">
        <v>30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5" t="s">
        <v>31</v>
      </c>
      <c r="T20" s="5" t="s">
        <v>32</v>
      </c>
      <c r="U20" s="7" t="s">
        <v>115</v>
      </c>
      <c r="V20" s="7" t="s">
        <v>296</v>
      </c>
    </row>
    <row r="21" spans="1:22" x14ac:dyDescent="0.25">
      <c r="A21" s="5" t="s">
        <v>117</v>
      </c>
      <c r="B21" s="6" t="s">
        <v>118</v>
      </c>
      <c r="C21" s="5" t="s">
        <v>26</v>
      </c>
      <c r="D21" s="5" t="s">
        <v>27</v>
      </c>
      <c r="E21" s="6" t="s">
        <v>28</v>
      </c>
      <c r="F21" s="6">
        <v>364</v>
      </c>
      <c r="G21" s="6" t="s">
        <v>60</v>
      </c>
      <c r="H21" s="6" t="s">
        <v>119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5" t="s">
        <v>31</v>
      </c>
      <c r="T21" s="5" t="s">
        <v>32</v>
      </c>
      <c r="U21" s="7" t="s">
        <v>120</v>
      </c>
      <c r="V21" s="7" t="s">
        <v>32</v>
      </c>
    </row>
    <row r="22" spans="1:22" x14ac:dyDescent="0.25">
      <c r="A22" s="5" t="s">
        <v>117</v>
      </c>
      <c r="B22" s="6" t="s">
        <v>122</v>
      </c>
      <c r="C22" s="5" t="s">
        <v>26</v>
      </c>
      <c r="D22" s="5" t="s">
        <v>27</v>
      </c>
      <c r="E22" s="6" t="s">
        <v>28</v>
      </c>
      <c r="F22" s="6">
        <v>225</v>
      </c>
      <c r="G22" s="6" t="s">
        <v>123</v>
      </c>
      <c r="H22" s="6" t="s">
        <v>124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5" t="s">
        <v>31</v>
      </c>
      <c r="T22" s="5" t="s">
        <v>32</v>
      </c>
      <c r="U22" s="7" t="s">
        <v>125</v>
      </c>
      <c r="V22" s="7" t="s">
        <v>251</v>
      </c>
    </row>
    <row r="23" spans="1:22" x14ac:dyDescent="0.25">
      <c r="A23" s="5" t="s">
        <v>117</v>
      </c>
      <c r="B23" s="6" t="s">
        <v>127</v>
      </c>
      <c r="C23" s="5" t="s">
        <v>26</v>
      </c>
      <c r="D23" s="5" t="s">
        <v>27</v>
      </c>
      <c r="E23" s="6" t="s">
        <v>28</v>
      </c>
      <c r="F23" s="6">
        <v>210</v>
      </c>
      <c r="G23" s="6" t="s">
        <v>74</v>
      </c>
      <c r="H23" s="6" t="s">
        <v>30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5" t="s">
        <v>31</v>
      </c>
      <c r="T23" s="5" t="s">
        <v>32</v>
      </c>
      <c r="U23" s="7" t="s">
        <v>129</v>
      </c>
      <c r="V23" s="7" t="s">
        <v>203</v>
      </c>
    </row>
    <row r="24" spans="1:22" x14ac:dyDescent="0.25">
      <c r="A24" s="5" t="s">
        <v>117</v>
      </c>
      <c r="B24" s="6" t="s">
        <v>131</v>
      </c>
      <c r="C24" s="5" t="s">
        <v>26</v>
      </c>
      <c r="D24" s="5" t="s">
        <v>27</v>
      </c>
      <c r="E24" s="6" t="s">
        <v>28</v>
      </c>
      <c r="F24" s="6">
        <v>167</v>
      </c>
      <c r="G24" s="6" t="s">
        <v>132</v>
      </c>
      <c r="H24" s="6" t="s">
        <v>133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5" t="s">
        <v>31</v>
      </c>
      <c r="T24" s="5" t="s">
        <v>32</v>
      </c>
      <c r="U24" s="7" t="s">
        <v>134</v>
      </c>
      <c r="V24" s="7" t="s">
        <v>325</v>
      </c>
    </row>
    <row r="25" spans="1:22" x14ac:dyDescent="0.25">
      <c r="A25" s="5" t="s">
        <v>117</v>
      </c>
      <c r="B25" s="6" t="s">
        <v>135</v>
      </c>
      <c r="C25" s="5" t="s">
        <v>26</v>
      </c>
      <c r="D25" s="5" t="s">
        <v>27</v>
      </c>
      <c r="E25" s="6" t="s">
        <v>28</v>
      </c>
      <c r="F25" s="6">
        <v>258</v>
      </c>
      <c r="G25" s="6" t="s">
        <v>60</v>
      </c>
      <c r="H25" s="6" t="s">
        <v>331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5" t="s">
        <v>31</v>
      </c>
      <c r="T25" s="5" t="s">
        <v>32</v>
      </c>
      <c r="U25" s="7" t="s">
        <v>138</v>
      </c>
      <c r="V25" s="7" t="s">
        <v>287</v>
      </c>
    </row>
    <row r="26" spans="1:22" x14ac:dyDescent="0.25">
      <c r="A26" s="5" t="s">
        <v>140</v>
      </c>
      <c r="B26" s="6" t="s">
        <v>144</v>
      </c>
      <c r="C26" s="5" t="s">
        <v>26</v>
      </c>
      <c r="D26" s="5" t="s">
        <v>27</v>
      </c>
      <c r="E26" s="6" t="s">
        <v>28</v>
      </c>
      <c r="F26" s="6">
        <v>373</v>
      </c>
      <c r="G26" s="6" t="s">
        <v>64</v>
      </c>
      <c r="H26" s="6" t="s">
        <v>145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5" t="s">
        <v>31</v>
      </c>
      <c r="T26" s="5" t="s">
        <v>32</v>
      </c>
      <c r="U26" s="7" t="s">
        <v>146</v>
      </c>
      <c r="V26" s="7" t="s">
        <v>287</v>
      </c>
    </row>
    <row r="27" spans="1:22" x14ac:dyDescent="0.25">
      <c r="A27" s="8">
        <f>COUNTA(B5:B26)</f>
      </c>
      <c r="B27" s="9" t="s">
        <v>148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">
        <v>332</v>
      </c>
      <c r="T27" s="9">
        <f>COUNTA(T5:T26)</f>
      </c>
      <c r="U27" s="10" t="s">
        <v>333</v>
      </c>
      <c r="V27" s="11" t="s">
        <v>334</v>
      </c>
    </row>
    <row r="28" spans="1:22" x14ac:dyDescent="0.25">
      <c r="A28" s="5" t="s">
        <v>24</v>
      </c>
      <c r="B28" s="6" t="s">
        <v>152</v>
      </c>
      <c r="C28" s="5" t="s">
        <v>153</v>
      </c>
      <c r="D28" s="5" t="s">
        <v>27</v>
      </c>
      <c r="E28" s="6" t="s">
        <v>154</v>
      </c>
      <c r="F28" s="12">
        <v>197</v>
      </c>
      <c r="G28" s="6" t="s">
        <v>237</v>
      </c>
      <c r="H28" s="6" t="s">
        <v>268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13">
        <v>2</v>
      </c>
      <c r="T28" s="13">
        <v>1</v>
      </c>
      <c r="U28" s="14">
        <v>394</v>
      </c>
      <c r="V28" s="7">
        <v>3</v>
      </c>
    </row>
    <row r="29" spans="1:22" x14ac:dyDescent="0.25">
      <c r="A29" s="5" t="s">
        <v>24</v>
      </c>
      <c r="B29" s="6"/>
      <c r="C29" s="5" t="s">
        <v>153</v>
      </c>
      <c r="D29" s="5" t="s">
        <v>156</v>
      </c>
      <c r="E29" s="6" t="s">
        <v>154</v>
      </c>
      <c r="F29" s="12">
        <v>197</v>
      </c>
      <c r="G29" s="6" t="s">
        <v>267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13">
        <v>1</v>
      </c>
      <c r="T29" s="13"/>
      <c r="U29" s="14">
        <v>197</v>
      </c>
      <c r="V29" s="7">
        <v>2</v>
      </c>
    </row>
    <row r="30" spans="1:22" x14ac:dyDescent="0.25">
      <c r="A30" s="5" t="s">
        <v>24</v>
      </c>
      <c r="B30" s="6" t="s">
        <v>158</v>
      </c>
      <c r="C30" s="5" t="s">
        <v>153</v>
      </c>
      <c r="D30" s="5" t="s">
        <v>156</v>
      </c>
      <c r="E30" s="6" t="s">
        <v>159</v>
      </c>
      <c r="F30" s="12">
        <v>183</v>
      </c>
      <c r="G30" s="6" t="s">
        <v>137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13">
        <v>1</v>
      </c>
      <c r="T30" s="13">
        <v>1</v>
      </c>
      <c r="U30" s="14">
        <v>183</v>
      </c>
      <c r="V30" s="7">
        <v>2</v>
      </c>
    </row>
    <row r="31" spans="1:22" x14ac:dyDescent="0.25">
      <c r="A31" s="5" t="s">
        <v>24</v>
      </c>
      <c r="B31" s="6"/>
      <c r="C31" s="5" t="s">
        <v>153</v>
      </c>
      <c r="D31" s="5" t="s">
        <v>27</v>
      </c>
      <c r="E31" s="6" t="s">
        <v>159</v>
      </c>
      <c r="F31" s="12">
        <v>183</v>
      </c>
      <c r="G31" s="6" t="s">
        <v>47</v>
      </c>
      <c r="H31" s="6" t="s">
        <v>167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13">
        <v>2</v>
      </c>
      <c r="T31" s="13"/>
      <c r="U31" s="14">
        <v>366</v>
      </c>
      <c r="V31" s="7">
        <v>3</v>
      </c>
    </row>
    <row r="32" spans="1:22" x14ac:dyDescent="0.25">
      <c r="A32" s="5" t="s">
        <v>24</v>
      </c>
      <c r="B32" s="6" t="s">
        <v>162</v>
      </c>
      <c r="C32" s="5" t="s">
        <v>153</v>
      </c>
      <c r="D32" s="5" t="s">
        <v>27</v>
      </c>
      <c r="E32" s="6" t="s">
        <v>163</v>
      </c>
      <c r="F32" s="12">
        <v>265</v>
      </c>
      <c r="G32" s="6" t="s">
        <v>155</v>
      </c>
      <c r="H32" s="6" t="s">
        <v>98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13">
        <v>2</v>
      </c>
      <c r="T32" s="13">
        <v>1</v>
      </c>
      <c r="U32" s="14">
        <v>530</v>
      </c>
      <c r="V32" s="7">
        <v>2</v>
      </c>
    </row>
    <row r="33" spans="1:22" x14ac:dyDescent="0.25">
      <c r="A33" s="5" t="s">
        <v>24</v>
      </c>
      <c r="B33" s="6"/>
      <c r="C33" s="5" t="s">
        <v>153</v>
      </c>
      <c r="D33" s="5" t="s">
        <v>156</v>
      </c>
      <c r="E33" s="6" t="s">
        <v>163</v>
      </c>
      <c r="F33" s="12">
        <v>265</v>
      </c>
      <c r="G33" s="6" t="s">
        <v>132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13">
        <v>1</v>
      </c>
      <c r="T33" s="13"/>
      <c r="U33" s="14">
        <v>265</v>
      </c>
      <c r="V33" s="7">
        <v>2</v>
      </c>
    </row>
    <row r="34" spans="1:22" x14ac:dyDescent="0.25">
      <c r="A34" s="5" t="s">
        <v>24</v>
      </c>
      <c r="B34" s="6" t="s">
        <v>164</v>
      </c>
      <c r="C34" s="5" t="s">
        <v>153</v>
      </c>
      <c r="D34" s="5" t="s">
        <v>156</v>
      </c>
      <c r="E34" s="6" t="s">
        <v>165</v>
      </c>
      <c r="F34" s="12">
        <v>66</v>
      </c>
      <c r="G34" s="6" t="s">
        <v>61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13">
        <v>1</v>
      </c>
      <c r="T34" s="13">
        <v>1</v>
      </c>
      <c r="U34" s="14">
        <v>66</v>
      </c>
      <c r="V34" s="7">
        <v>17</v>
      </c>
    </row>
    <row r="35" spans="1:22" x14ac:dyDescent="0.25">
      <c r="A35" s="5" t="s">
        <v>24</v>
      </c>
      <c r="B35" s="6"/>
      <c r="C35" s="5" t="s">
        <v>153</v>
      </c>
      <c r="D35" s="5" t="s">
        <v>27</v>
      </c>
      <c r="E35" s="6" t="s">
        <v>165</v>
      </c>
      <c r="F35" s="12">
        <v>66</v>
      </c>
      <c r="G35" s="6" t="s">
        <v>171</v>
      </c>
      <c r="H35" s="6" t="s">
        <v>335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13">
        <v>2</v>
      </c>
      <c r="T35" s="13"/>
      <c r="U35" s="14">
        <v>132</v>
      </c>
      <c r="V35" s="7">
        <v>19</v>
      </c>
    </row>
    <row r="36" spans="1:22" x14ac:dyDescent="0.25">
      <c r="A36" s="5" t="s">
        <v>24</v>
      </c>
      <c r="B36" s="6" t="s">
        <v>168</v>
      </c>
      <c r="C36" s="5" t="s">
        <v>153</v>
      </c>
      <c r="D36" s="5" t="s">
        <v>27</v>
      </c>
      <c r="E36" s="6" t="s">
        <v>169</v>
      </c>
      <c r="F36" s="12">
        <v>232</v>
      </c>
      <c r="G36" s="6" t="s">
        <v>170</v>
      </c>
      <c r="H36" s="6" t="s">
        <v>171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13">
        <v>2</v>
      </c>
      <c r="T36" s="13">
        <v>1</v>
      </c>
      <c r="U36" s="14">
        <v>464</v>
      </c>
      <c r="V36" s="7">
        <v>18</v>
      </c>
    </row>
    <row r="37" spans="1:22" x14ac:dyDescent="0.25">
      <c r="A37" s="5" t="s">
        <v>24</v>
      </c>
      <c r="B37" s="6"/>
      <c r="C37" s="5" t="s">
        <v>153</v>
      </c>
      <c r="D37" s="5" t="s">
        <v>156</v>
      </c>
      <c r="E37" s="6" t="s">
        <v>169</v>
      </c>
      <c r="F37" s="12">
        <v>232</v>
      </c>
      <c r="G37" s="6" t="s">
        <v>172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13">
        <v>1</v>
      </c>
      <c r="T37" s="13"/>
      <c r="U37" s="14">
        <v>232</v>
      </c>
      <c r="V37" s="7">
        <v>16</v>
      </c>
    </row>
    <row r="38" spans="1:22" x14ac:dyDescent="0.25">
      <c r="A38" s="5" t="s">
        <v>72</v>
      </c>
      <c r="B38" s="6" t="s">
        <v>173</v>
      </c>
      <c r="C38" s="5" t="s">
        <v>153</v>
      </c>
      <c r="D38" s="5" t="s">
        <v>27</v>
      </c>
      <c r="E38" s="6" t="s">
        <v>174</v>
      </c>
      <c r="F38" s="12">
        <v>305</v>
      </c>
      <c r="G38" s="6" t="s">
        <v>123</v>
      </c>
      <c r="H38" s="6" t="s">
        <v>103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13">
        <v>2</v>
      </c>
      <c r="T38" s="13">
        <v>1</v>
      </c>
      <c r="U38" s="14">
        <v>610</v>
      </c>
      <c r="V38" s="7">
        <v>5</v>
      </c>
    </row>
    <row r="39" spans="1:22" x14ac:dyDescent="0.25">
      <c r="A39" s="5" t="s">
        <v>72</v>
      </c>
      <c r="B39" s="6"/>
      <c r="C39" s="5" t="s">
        <v>153</v>
      </c>
      <c r="D39" s="5" t="s">
        <v>156</v>
      </c>
      <c r="E39" s="6" t="s">
        <v>174</v>
      </c>
      <c r="F39" s="12">
        <v>305</v>
      </c>
      <c r="G39" s="6" t="s">
        <v>175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13">
        <v>1</v>
      </c>
      <c r="T39" s="13"/>
      <c r="U39" s="14">
        <v>305</v>
      </c>
      <c r="V39" s="7">
        <v>2</v>
      </c>
    </row>
    <row r="40" spans="1:22" x14ac:dyDescent="0.25">
      <c r="A40" s="5" t="s">
        <v>72</v>
      </c>
      <c r="B40" s="6" t="s">
        <v>176</v>
      </c>
      <c r="C40" s="5" t="s">
        <v>153</v>
      </c>
      <c r="D40" s="5" t="s">
        <v>27</v>
      </c>
      <c r="E40" s="6" t="s">
        <v>165</v>
      </c>
      <c r="F40" s="12">
        <v>133</v>
      </c>
      <c r="G40" s="6" t="s">
        <v>123</v>
      </c>
      <c r="H40" s="6" t="s">
        <v>103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13">
        <v>2</v>
      </c>
      <c r="T40" s="13">
        <v>1</v>
      </c>
      <c r="U40" s="14">
        <v>266</v>
      </c>
      <c r="V40" s="7">
        <v>18</v>
      </c>
    </row>
    <row r="41" spans="1:22" x14ac:dyDescent="0.25">
      <c r="A41" s="5" t="s">
        <v>72</v>
      </c>
      <c r="B41" s="6"/>
      <c r="C41" s="5" t="s">
        <v>153</v>
      </c>
      <c r="D41" s="5" t="s">
        <v>156</v>
      </c>
      <c r="E41" s="6" t="s">
        <v>165</v>
      </c>
      <c r="F41" s="12">
        <v>133</v>
      </c>
      <c r="G41" s="6" t="s">
        <v>175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13">
        <v>1</v>
      </c>
      <c r="T41" s="13"/>
      <c r="U41" s="14">
        <v>133</v>
      </c>
      <c r="V41" s="7">
        <v>4</v>
      </c>
    </row>
    <row r="42" spans="1:22" x14ac:dyDescent="0.25">
      <c r="A42" s="5" t="s">
        <v>88</v>
      </c>
      <c r="B42" s="6" t="s">
        <v>177</v>
      </c>
      <c r="C42" s="5" t="s">
        <v>153</v>
      </c>
      <c r="D42" s="5" t="s">
        <v>27</v>
      </c>
      <c r="E42" s="6" t="s">
        <v>178</v>
      </c>
      <c r="F42" s="12">
        <v>80</v>
      </c>
      <c r="G42" s="6" t="s">
        <v>202</v>
      </c>
      <c r="H42" s="6" t="s">
        <v>191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13">
        <v>2</v>
      </c>
      <c r="T42" s="13">
        <v>1</v>
      </c>
      <c r="U42" s="14">
        <v>160</v>
      </c>
      <c r="V42" s="7">
        <v>15</v>
      </c>
    </row>
    <row r="43" spans="1:22" x14ac:dyDescent="0.25">
      <c r="A43" s="5" t="s">
        <v>88</v>
      </c>
      <c r="B43" s="6"/>
      <c r="C43" s="5" t="s">
        <v>153</v>
      </c>
      <c r="D43" s="5" t="s">
        <v>156</v>
      </c>
      <c r="E43" s="6" t="s">
        <v>178</v>
      </c>
      <c r="F43" s="12">
        <v>80</v>
      </c>
      <c r="G43" s="6" t="s">
        <v>172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13">
        <v>1</v>
      </c>
      <c r="T43" s="13"/>
      <c r="U43" s="14">
        <v>80</v>
      </c>
      <c r="V43" s="7">
        <v>14</v>
      </c>
    </row>
    <row r="44" spans="1:22" x14ac:dyDescent="0.25">
      <c r="A44" s="5" t="s">
        <v>94</v>
      </c>
      <c r="B44" s="6" t="s">
        <v>182</v>
      </c>
      <c r="C44" s="5" t="s">
        <v>153</v>
      </c>
      <c r="D44" s="5" t="s">
        <v>27</v>
      </c>
      <c r="E44" s="6" t="s">
        <v>174</v>
      </c>
      <c r="F44" s="12">
        <v>192</v>
      </c>
      <c r="G44" s="6" t="s">
        <v>183</v>
      </c>
      <c r="H44" s="6" t="s">
        <v>171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13">
        <v>2</v>
      </c>
      <c r="T44" s="13">
        <v>1</v>
      </c>
      <c r="U44" s="14">
        <v>384</v>
      </c>
      <c r="V44" s="7">
        <v>12</v>
      </c>
    </row>
    <row r="45" spans="1:22" x14ac:dyDescent="0.25">
      <c r="A45" s="5" t="s">
        <v>94</v>
      </c>
      <c r="B45" s="6"/>
      <c r="C45" s="5" t="s">
        <v>153</v>
      </c>
      <c r="D45" s="5" t="s">
        <v>156</v>
      </c>
      <c r="E45" s="6" t="s">
        <v>174</v>
      </c>
      <c r="F45" s="12">
        <v>192</v>
      </c>
      <c r="G45" s="6" t="s">
        <v>184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13">
        <v>1</v>
      </c>
      <c r="T45" s="13"/>
      <c r="U45" s="14">
        <v>192</v>
      </c>
      <c r="V45" s="7">
        <v>4</v>
      </c>
    </row>
    <row r="46" spans="1:22" x14ac:dyDescent="0.25">
      <c r="A46" s="5" t="s">
        <v>94</v>
      </c>
      <c r="B46" s="6" t="s">
        <v>185</v>
      </c>
      <c r="C46" s="5" t="s">
        <v>153</v>
      </c>
      <c r="D46" s="5" t="s">
        <v>27</v>
      </c>
      <c r="E46" s="6" t="s">
        <v>169</v>
      </c>
      <c r="F46" s="12">
        <v>227</v>
      </c>
      <c r="G46" s="6" t="s">
        <v>183</v>
      </c>
      <c r="H46" s="6" t="s">
        <v>171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13">
        <v>2</v>
      </c>
      <c r="T46" s="13">
        <v>1</v>
      </c>
      <c r="U46" s="14">
        <v>454</v>
      </c>
      <c r="V46" s="7">
        <v>3</v>
      </c>
    </row>
    <row r="47" spans="1:22" x14ac:dyDescent="0.25">
      <c r="A47" s="5" t="s">
        <v>94</v>
      </c>
      <c r="B47" s="6"/>
      <c r="C47" s="5" t="s">
        <v>153</v>
      </c>
      <c r="D47" s="5" t="s">
        <v>156</v>
      </c>
      <c r="E47" s="6" t="s">
        <v>169</v>
      </c>
      <c r="F47" s="12">
        <v>227</v>
      </c>
      <c r="G47" s="6" t="s">
        <v>184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13">
        <v>1</v>
      </c>
      <c r="T47" s="13"/>
      <c r="U47" s="14">
        <v>227</v>
      </c>
      <c r="V47" s="7">
        <v>6</v>
      </c>
    </row>
    <row r="48" spans="1:22" x14ac:dyDescent="0.25">
      <c r="A48" s="5" t="s">
        <v>94</v>
      </c>
      <c r="B48" s="6" t="s">
        <v>188</v>
      </c>
      <c r="C48" s="5" t="s">
        <v>153</v>
      </c>
      <c r="D48" s="5" t="s">
        <v>156</v>
      </c>
      <c r="E48" s="6" t="s">
        <v>189</v>
      </c>
      <c r="F48" s="12">
        <v>156</v>
      </c>
      <c r="G48" s="6" t="s">
        <v>155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13">
        <v>1</v>
      </c>
      <c r="T48" s="13">
        <v>1</v>
      </c>
      <c r="U48" s="14">
        <v>156</v>
      </c>
      <c r="V48" s="7">
        <v>2</v>
      </c>
    </row>
    <row r="49" spans="1:22" x14ac:dyDescent="0.25">
      <c r="A49" s="5" t="s">
        <v>94</v>
      </c>
      <c r="B49" s="6"/>
      <c r="C49" s="5" t="s">
        <v>153</v>
      </c>
      <c r="D49" s="5" t="s">
        <v>27</v>
      </c>
      <c r="E49" s="6" t="s">
        <v>189</v>
      </c>
      <c r="F49" s="12">
        <v>156</v>
      </c>
      <c r="G49" s="6" t="s">
        <v>132</v>
      </c>
      <c r="H49" s="6" t="s">
        <v>98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13">
        <v>2</v>
      </c>
      <c r="T49" s="13"/>
      <c r="U49" s="14">
        <v>312</v>
      </c>
      <c r="V49" s="7">
        <v>2</v>
      </c>
    </row>
    <row r="50" spans="1:22" x14ac:dyDescent="0.25">
      <c r="A50" s="5" t="s">
        <v>94</v>
      </c>
      <c r="B50" s="6" t="s">
        <v>190</v>
      </c>
      <c r="C50" s="5" t="s">
        <v>153</v>
      </c>
      <c r="D50" s="5" t="s">
        <v>27</v>
      </c>
      <c r="E50" s="6" t="s">
        <v>165</v>
      </c>
      <c r="F50" s="12">
        <v>109</v>
      </c>
      <c r="G50" s="6" t="s">
        <v>111</v>
      </c>
      <c r="H50" s="6" t="s">
        <v>161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13">
        <v>2</v>
      </c>
      <c r="T50" s="13">
        <v>1</v>
      </c>
      <c r="U50" s="14">
        <v>218</v>
      </c>
      <c r="V50" s="7">
        <v>18</v>
      </c>
    </row>
    <row r="51" spans="1:22" x14ac:dyDescent="0.25">
      <c r="A51" s="5" t="s">
        <v>94</v>
      </c>
      <c r="B51" s="6"/>
      <c r="C51" s="5" t="s">
        <v>153</v>
      </c>
      <c r="D51" s="5" t="s">
        <v>156</v>
      </c>
      <c r="E51" s="6" t="s">
        <v>165</v>
      </c>
      <c r="F51" s="12">
        <v>109</v>
      </c>
      <c r="G51" s="6" t="s">
        <v>160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13">
        <v>1</v>
      </c>
      <c r="T51" s="13"/>
      <c r="U51" s="14">
        <v>109</v>
      </c>
      <c r="V51" s="7">
        <v>4</v>
      </c>
    </row>
    <row r="52" spans="1:22" x14ac:dyDescent="0.25">
      <c r="A52" s="5" t="s">
        <v>94</v>
      </c>
      <c r="B52" s="6" t="s">
        <v>192</v>
      </c>
      <c r="C52" s="5" t="s">
        <v>153</v>
      </c>
      <c r="D52" s="5" t="s">
        <v>27</v>
      </c>
      <c r="E52" s="6" t="s">
        <v>174</v>
      </c>
      <c r="F52" s="12">
        <v>268</v>
      </c>
      <c r="G52" s="6" t="s">
        <v>193</v>
      </c>
      <c r="H52" s="6" t="s">
        <v>103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13">
        <v>2</v>
      </c>
      <c r="T52" s="13">
        <v>1</v>
      </c>
      <c r="U52" s="14">
        <v>536</v>
      </c>
      <c r="V52" s="7">
        <v>46</v>
      </c>
    </row>
    <row r="53" spans="1:22" x14ac:dyDescent="0.25">
      <c r="A53" s="5" t="s">
        <v>94</v>
      </c>
      <c r="B53" s="6"/>
      <c r="C53" s="5" t="s">
        <v>153</v>
      </c>
      <c r="D53" s="5" t="s">
        <v>156</v>
      </c>
      <c r="E53" s="6" t="s">
        <v>174</v>
      </c>
      <c r="F53" s="12">
        <v>268</v>
      </c>
      <c r="G53" s="6" t="s">
        <v>194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13">
        <v>1</v>
      </c>
      <c r="T53" s="13"/>
      <c r="U53" s="14">
        <v>268</v>
      </c>
      <c r="V53" s="7">
        <v>16</v>
      </c>
    </row>
    <row r="54" spans="1:22" x14ac:dyDescent="0.25">
      <c r="A54" s="5" t="s">
        <v>94</v>
      </c>
      <c r="B54" s="6" t="s">
        <v>195</v>
      </c>
      <c r="C54" s="5" t="s">
        <v>153</v>
      </c>
      <c r="D54" s="5" t="s">
        <v>27</v>
      </c>
      <c r="E54" s="6" t="s">
        <v>189</v>
      </c>
      <c r="F54" s="12">
        <v>240</v>
      </c>
      <c r="G54" s="6" t="s">
        <v>36</v>
      </c>
      <c r="H54" s="6" t="s">
        <v>336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13">
        <v>2</v>
      </c>
      <c r="T54" s="13">
        <v>1</v>
      </c>
      <c r="U54" s="14">
        <v>480</v>
      </c>
      <c r="V54" s="7">
        <v>10</v>
      </c>
    </row>
    <row r="55" spans="1:22" x14ac:dyDescent="0.25">
      <c r="A55" s="5" t="s">
        <v>94</v>
      </c>
      <c r="B55" s="6"/>
      <c r="C55" s="5" t="s">
        <v>153</v>
      </c>
      <c r="D55" s="5" t="s">
        <v>156</v>
      </c>
      <c r="E55" s="6" t="s">
        <v>189</v>
      </c>
      <c r="F55" s="12">
        <v>240</v>
      </c>
      <c r="G55" s="6" t="s">
        <v>337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13">
        <v>1</v>
      </c>
      <c r="T55" s="13"/>
      <c r="U55" s="14">
        <v>240</v>
      </c>
      <c r="V55" s="7">
        <v>0</v>
      </c>
    </row>
    <row r="56" spans="1:22" x14ac:dyDescent="0.25">
      <c r="A56" s="5" t="s">
        <v>94</v>
      </c>
      <c r="B56" s="6" t="s">
        <v>199</v>
      </c>
      <c r="C56" s="5" t="s">
        <v>153</v>
      </c>
      <c r="D56" s="5" t="s">
        <v>27</v>
      </c>
      <c r="E56" s="6" t="s">
        <v>174</v>
      </c>
      <c r="F56" s="12">
        <v>310</v>
      </c>
      <c r="G56" s="6" t="s">
        <v>170</v>
      </c>
      <c r="H56" s="6" t="s">
        <v>171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13">
        <v>2</v>
      </c>
      <c r="T56" s="13">
        <v>1</v>
      </c>
      <c r="U56" s="14">
        <v>620</v>
      </c>
      <c r="V56" s="7">
        <v>8</v>
      </c>
    </row>
    <row r="57" spans="1:22" x14ac:dyDescent="0.25">
      <c r="A57" s="5" t="s">
        <v>94</v>
      </c>
      <c r="B57" s="6"/>
      <c r="C57" s="5" t="s">
        <v>153</v>
      </c>
      <c r="D57" s="5" t="s">
        <v>156</v>
      </c>
      <c r="E57" s="6" t="s">
        <v>174</v>
      </c>
      <c r="F57" s="12">
        <v>310</v>
      </c>
      <c r="G57" s="6" t="s">
        <v>172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13">
        <v>1</v>
      </c>
      <c r="T57" s="13"/>
      <c r="U57" s="14">
        <v>310</v>
      </c>
      <c r="V57" s="7">
        <v>4</v>
      </c>
    </row>
    <row r="58" spans="1:22" x14ac:dyDescent="0.25">
      <c r="A58" s="5" t="s">
        <v>94</v>
      </c>
      <c r="B58" s="6" t="s">
        <v>200</v>
      </c>
      <c r="C58" s="5" t="s">
        <v>153</v>
      </c>
      <c r="D58" s="5" t="s">
        <v>27</v>
      </c>
      <c r="E58" s="6" t="s">
        <v>174</v>
      </c>
      <c r="F58" s="12">
        <v>187</v>
      </c>
      <c r="G58" s="6" t="s">
        <v>36</v>
      </c>
      <c r="H58" s="6" t="s">
        <v>338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13">
        <v>2</v>
      </c>
      <c r="T58" s="13">
        <v>1</v>
      </c>
      <c r="U58" s="14">
        <v>374</v>
      </c>
      <c r="V58" s="7">
        <v>34</v>
      </c>
    </row>
    <row r="59" spans="1:22" x14ac:dyDescent="0.25">
      <c r="A59" s="5" t="s">
        <v>94</v>
      </c>
      <c r="B59" s="6"/>
      <c r="C59" s="5" t="s">
        <v>153</v>
      </c>
      <c r="D59" s="5" t="s">
        <v>156</v>
      </c>
      <c r="E59" s="6" t="s">
        <v>174</v>
      </c>
      <c r="F59" s="12">
        <v>187</v>
      </c>
      <c r="G59" s="6" t="s">
        <v>337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13">
        <v>1</v>
      </c>
      <c r="T59" s="13"/>
      <c r="U59" s="14">
        <v>187</v>
      </c>
      <c r="V59" s="7">
        <v>30</v>
      </c>
    </row>
    <row r="60" spans="1:22" x14ac:dyDescent="0.25">
      <c r="A60" s="5" t="s">
        <v>117</v>
      </c>
      <c r="B60" s="6" t="s">
        <v>201</v>
      </c>
      <c r="C60" s="5" t="s">
        <v>153</v>
      </c>
      <c r="D60" s="5" t="s">
        <v>156</v>
      </c>
      <c r="E60" s="6" t="s">
        <v>165</v>
      </c>
      <c r="F60" s="6">
        <v>150</v>
      </c>
      <c r="G60" s="6" t="s">
        <v>202</v>
      </c>
      <c r="H60" s="6" t="s">
        <v>172</v>
      </c>
      <c r="I60" s="6" t="s">
        <v>191</v>
      </c>
      <c r="J60" s="6"/>
      <c r="K60" s="6"/>
      <c r="L60" s="6"/>
      <c r="M60" s="6"/>
      <c r="N60" s="6"/>
      <c r="O60" s="6"/>
      <c r="P60" s="6"/>
      <c r="Q60" s="6"/>
      <c r="R60" s="6"/>
      <c r="S60" s="5" t="s">
        <v>203</v>
      </c>
      <c r="T60" s="5" t="s">
        <v>32</v>
      </c>
      <c r="U60" s="7" t="s">
        <v>125</v>
      </c>
      <c r="V60" s="7" t="s">
        <v>62</v>
      </c>
    </row>
    <row r="61" spans="1:22" x14ac:dyDescent="0.25">
      <c r="A61" s="5" t="s">
        <v>140</v>
      </c>
      <c r="B61" s="6" t="s">
        <v>204</v>
      </c>
      <c r="C61" s="5" t="s">
        <v>153</v>
      </c>
      <c r="D61" s="5" t="s">
        <v>27</v>
      </c>
      <c r="E61" s="6" t="s">
        <v>154</v>
      </c>
      <c r="F61" s="12">
        <v>282</v>
      </c>
      <c r="G61" s="6" t="s">
        <v>205</v>
      </c>
      <c r="H61" s="6" t="s">
        <v>37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13">
        <v>2</v>
      </c>
      <c r="T61" s="13">
        <v>1</v>
      </c>
      <c r="U61" s="14">
        <v>564</v>
      </c>
      <c r="V61" s="7">
        <v>2</v>
      </c>
    </row>
    <row r="62" spans="1:22" x14ac:dyDescent="0.25">
      <c r="A62" s="5" t="s">
        <v>140</v>
      </c>
      <c r="B62" s="6"/>
      <c r="C62" s="5" t="s">
        <v>153</v>
      </c>
      <c r="D62" s="5" t="s">
        <v>156</v>
      </c>
      <c r="E62" s="6" t="s">
        <v>154</v>
      </c>
      <c r="F62" s="12">
        <v>282</v>
      </c>
      <c r="G62" s="6" t="s">
        <v>91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13">
        <v>1</v>
      </c>
      <c r="T62" s="13"/>
      <c r="U62" s="14">
        <v>282</v>
      </c>
      <c r="V62" s="7">
        <v>0</v>
      </c>
    </row>
    <row r="63" spans="1:22" x14ac:dyDescent="0.25">
      <c r="A63" s="5" t="s">
        <v>140</v>
      </c>
      <c r="B63" s="6" t="s">
        <v>206</v>
      </c>
      <c r="C63" s="5" t="s">
        <v>153</v>
      </c>
      <c r="D63" s="5" t="s">
        <v>27</v>
      </c>
      <c r="E63" s="6" t="s">
        <v>165</v>
      </c>
      <c r="F63" s="12">
        <v>215</v>
      </c>
      <c r="G63" s="6" t="s">
        <v>155</v>
      </c>
      <c r="H63" s="6" t="s">
        <v>98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13">
        <v>2</v>
      </c>
      <c r="T63" s="13">
        <v>1</v>
      </c>
      <c r="U63" s="14">
        <v>430</v>
      </c>
      <c r="V63" s="7">
        <v>5</v>
      </c>
    </row>
    <row r="64" spans="1:22" x14ac:dyDescent="0.25">
      <c r="A64" s="5" t="s">
        <v>140</v>
      </c>
      <c r="B64" s="6"/>
      <c r="C64" s="5" t="s">
        <v>153</v>
      </c>
      <c r="D64" s="5" t="s">
        <v>156</v>
      </c>
      <c r="E64" s="6" t="s">
        <v>165</v>
      </c>
      <c r="F64" s="12">
        <v>215</v>
      </c>
      <c r="G64" s="6" t="s">
        <v>132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13">
        <v>1</v>
      </c>
      <c r="T64" s="13"/>
      <c r="U64" s="14">
        <v>215</v>
      </c>
      <c r="V64" s="7">
        <v>1</v>
      </c>
    </row>
    <row r="65" spans="1:22" x14ac:dyDescent="0.25">
      <c r="A65" s="8">
        <f>COUNTA(B28:B64)</f>
      </c>
      <c r="B65" s="9" t="s">
        <v>207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">
        <v>208</v>
      </c>
      <c r="T65" s="9">
        <f>COUNTA(T28:T64)</f>
      </c>
      <c r="U65" s="10" t="s">
        <v>209</v>
      </c>
      <c r="V65" s="11" t="s">
        <v>339</v>
      </c>
    </row>
    <row r="66" spans="1:22" x14ac:dyDescent="0.25">
      <c r="A66" s="5" t="s">
        <v>24</v>
      </c>
      <c r="B66" s="6" t="s">
        <v>211</v>
      </c>
      <c r="C66" s="5" t="s">
        <v>153</v>
      </c>
      <c r="D66" s="5" t="s">
        <v>27</v>
      </c>
      <c r="E66" s="6" t="s">
        <v>212</v>
      </c>
      <c r="F66" s="6">
        <v>218</v>
      </c>
      <c r="G66" s="6" t="s">
        <v>340</v>
      </c>
      <c r="H66" s="6" t="s">
        <v>341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5" t="s">
        <v>31</v>
      </c>
      <c r="T66" s="5" t="s">
        <v>32</v>
      </c>
      <c r="U66" s="7" t="s">
        <v>342</v>
      </c>
      <c r="V66" s="7" t="s">
        <v>251</v>
      </c>
    </row>
    <row r="67" spans="1:22" x14ac:dyDescent="0.25">
      <c r="A67" s="5" t="s">
        <v>24</v>
      </c>
      <c r="B67" s="6" t="s">
        <v>216</v>
      </c>
      <c r="C67" s="5" t="s">
        <v>153</v>
      </c>
      <c r="D67" s="5" t="s">
        <v>27</v>
      </c>
      <c r="E67" s="6" t="s">
        <v>217</v>
      </c>
      <c r="F67" s="6">
        <v>290</v>
      </c>
      <c r="G67" s="6" t="s">
        <v>29</v>
      </c>
      <c r="H67" s="6" t="s">
        <v>69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5" t="s">
        <v>31</v>
      </c>
      <c r="T67" s="5" t="s">
        <v>32</v>
      </c>
      <c r="U67" s="7" t="s">
        <v>343</v>
      </c>
      <c r="V67" s="7" t="s">
        <v>208</v>
      </c>
    </row>
    <row r="68" spans="1:22" x14ac:dyDescent="0.25">
      <c r="A68" s="5" t="s">
        <v>24</v>
      </c>
      <c r="B68" s="6" t="s">
        <v>222</v>
      </c>
      <c r="C68" s="5" t="s">
        <v>153</v>
      </c>
      <c r="D68" s="5" t="s">
        <v>27</v>
      </c>
      <c r="E68" s="6" t="s">
        <v>217</v>
      </c>
      <c r="F68" s="6">
        <v>285</v>
      </c>
      <c r="G68" s="6" t="s">
        <v>344</v>
      </c>
      <c r="H68" s="6" t="s">
        <v>345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5" t="s">
        <v>31</v>
      </c>
      <c r="T68" s="5" t="s">
        <v>32</v>
      </c>
      <c r="U68" s="7" t="s">
        <v>307</v>
      </c>
      <c r="V68" s="7" t="s">
        <v>293</v>
      </c>
    </row>
    <row r="69" spans="1:22" x14ac:dyDescent="0.25">
      <c r="A69" s="5" t="s">
        <v>24</v>
      </c>
      <c r="B69" s="6" t="s">
        <v>236</v>
      </c>
      <c r="C69" s="5" t="s">
        <v>153</v>
      </c>
      <c r="D69" s="5" t="s">
        <v>27</v>
      </c>
      <c r="E69" s="6" t="s">
        <v>217</v>
      </c>
      <c r="F69" s="6">
        <v>336</v>
      </c>
      <c r="G69" s="6" t="s">
        <v>346</v>
      </c>
      <c r="H69" s="6" t="s">
        <v>193</v>
      </c>
      <c r="I69" s="6" t="s">
        <v>198</v>
      </c>
      <c r="J69" s="6"/>
      <c r="K69" s="6"/>
      <c r="L69" s="6"/>
      <c r="M69" s="6"/>
      <c r="N69" s="6"/>
      <c r="O69" s="6"/>
      <c r="P69" s="6"/>
      <c r="Q69" s="6"/>
      <c r="R69" s="6"/>
      <c r="S69" s="5" t="s">
        <v>203</v>
      </c>
      <c r="T69" s="5" t="s">
        <v>32</v>
      </c>
      <c r="U69" s="7" t="s">
        <v>239</v>
      </c>
      <c r="V69" s="7" t="s">
        <v>251</v>
      </c>
    </row>
    <row r="70" spans="1:22" x14ac:dyDescent="0.25">
      <c r="A70" s="5" t="s">
        <v>94</v>
      </c>
      <c r="B70" s="6" t="s">
        <v>245</v>
      </c>
      <c r="C70" s="5" t="s">
        <v>153</v>
      </c>
      <c r="D70" s="5" t="s">
        <v>27</v>
      </c>
      <c r="E70" s="6" t="s">
        <v>212</v>
      </c>
      <c r="F70" s="6">
        <v>145</v>
      </c>
      <c r="G70" s="6" t="s">
        <v>41</v>
      </c>
      <c r="H70" s="6" t="s">
        <v>69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5" t="s">
        <v>31</v>
      </c>
      <c r="T70" s="5" t="s">
        <v>32</v>
      </c>
      <c r="U70" s="7" t="s">
        <v>246</v>
      </c>
      <c r="V70" s="7" t="s">
        <v>293</v>
      </c>
    </row>
    <row r="71" spans="1:22" x14ac:dyDescent="0.25">
      <c r="A71" s="5" t="s">
        <v>117</v>
      </c>
      <c r="B71" s="6" t="s">
        <v>265</v>
      </c>
      <c r="C71" s="5" t="s">
        <v>153</v>
      </c>
      <c r="D71" s="5" t="s">
        <v>27</v>
      </c>
      <c r="E71" s="6" t="s">
        <v>266</v>
      </c>
      <c r="F71" s="6">
        <v>138</v>
      </c>
      <c r="G71" s="6" t="s">
        <v>29</v>
      </c>
      <c r="H71" s="6" t="s">
        <v>30</v>
      </c>
      <c r="I71" s="6" t="s">
        <v>213</v>
      </c>
      <c r="J71" s="6"/>
      <c r="K71" s="6"/>
      <c r="L71" s="6"/>
      <c r="M71" s="6"/>
      <c r="N71" s="6"/>
      <c r="O71" s="6"/>
      <c r="P71" s="6"/>
      <c r="Q71" s="6"/>
      <c r="R71" s="6"/>
      <c r="S71" s="5" t="s">
        <v>203</v>
      </c>
      <c r="T71" s="5" t="s">
        <v>32</v>
      </c>
      <c r="U71" s="7" t="s">
        <v>270</v>
      </c>
      <c r="V71" s="7" t="s">
        <v>32</v>
      </c>
    </row>
    <row r="72" spans="1:22" x14ac:dyDescent="0.25">
      <c r="A72" s="8">
        <f>COUNTA(B66:B71)</f>
      </c>
      <c r="B72" s="9" t="s">
        <v>272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">
        <v>347</v>
      </c>
      <c r="T72" s="9">
        <f>COUNTA(T66:T71)</f>
      </c>
      <c r="U72" s="10" t="s">
        <v>348</v>
      </c>
      <c r="V72" s="11" t="s">
        <v>349</v>
      </c>
    </row>
    <row r="73" spans="1:22" x14ac:dyDescent="0.25">
      <c r="A73" s="15">
        <v>47</v>
      </c>
      <c r="B73" s="15" t="s">
        <v>276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 t="s">
        <v>350</v>
      </c>
      <c r="T73" s="15">
        <f>COUNTA(T5:T26,T28:T64,T66:T71)</f>
      </c>
      <c r="U73" s="16" t="s">
        <v>351</v>
      </c>
      <c r="V73" s="16" t="s">
        <v>352</v>
      </c>
    </row>
  </sheetData>
  <mergeCells count="42">
    <mergeCell ref="A2:V2"/>
    <mergeCell ref="A3:K3"/>
    <mergeCell ref="B27:R27"/>
    <mergeCell ref="B28:B29"/>
    <mergeCell ref="T28:T29"/>
    <mergeCell ref="B30:B31"/>
    <mergeCell ref="T30:T31"/>
    <mergeCell ref="B32:B33"/>
    <mergeCell ref="T32:T33"/>
    <mergeCell ref="B34:B35"/>
    <mergeCell ref="T34:T35"/>
    <mergeCell ref="B36:B37"/>
    <mergeCell ref="T36:T37"/>
    <mergeCell ref="B38:B39"/>
    <mergeCell ref="T38:T39"/>
    <mergeCell ref="B40:B41"/>
    <mergeCell ref="T40:T41"/>
    <mergeCell ref="B42:B43"/>
    <mergeCell ref="T42:T43"/>
    <mergeCell ref="B44:B45"/>
    <mergeCell ref="T44:T45"/>
    <mergeCell ref="B46:B47"/>
    <mergeCell ref="T46:T47"/>
    <mergeCell ref="B48:B49"/>
    <mergeCell ref="T48:T49"/>
    <mergeCell ref="B50:B51"/>
    <mergeCell ref="T50:T51"/>
    <mergeCell ref="B52:B53"/>
    <mergeCell ref="T52:T53"/>
    <mergeCell ref="B54:B55"/>
    <mergeCell ref="T54:T55"/>
    <mergeCell ref="B56:B57"/>
    <mergeCell ref="T56:T57"/>
    <mergeCell ref="B58:B59"/>
    <mergeCell ref="T58:T59"/>
    <mergeCell ref="B61:B62"/>
    <mergeCell ref="T61:T62"/>
    <mergeCell ref="B63:B64"/>
    <mergeCell ref="T63:T64"/>
    <mergeCell ref="B65:R65"/>
    <mergeCell ref="B72:R72"/>
    <mergeCell ref="B73:R7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19" customWidth="1"/>
    <col min="8" max="9" width="15" customWidth="1"/>
  </cols>
  <sheetData>
    <row r="1" spans="1:9" x14ac:dyDescent="0.25">
      <c r="A1" s="17" t="s">
        <v>353</v>
      </c>
      <c r="B1" s="17" t="s">
        <v>354</v>
      </c>
      <c r="C1" s="17" t="s">
        <v>355</v>
      </c>
      <c r="D1" s="17" t="s">
        <v>356</v>
      </c>
      <c r="E1" s="17" t="s">
        <v>357</v>
      </c>
      <c r="F1" s="17" t="s">
        <v>358</v>
      </c>
      <c r="G1" s="17" t="s">
        <v>359</v>
      </c>
      <c r="H1" s="17" t="s">
        <v>360</v>
      </c>
      <c r="I1" s="17" t="s">
        <v>361</v>
      </c>
    </row>
    <row r="2" spans="1:9" x14ac:dyDescent="0.25">
      <c r="A2" s="17" t="s">
        <v>362</v>
      </c>
      <c r="B2" s="18" t="s">
        <v>363</v>
      </c>
      <c r="C2" s="19" t="s">
        <v>313</v>
      </c>
      <c r="D2" s="19" t="s">
        <v>149</v>
      </c>
      <c r="E2" s="19" t="s">
        <v>313</v>
      </c>
      <c r="F2" s="19" t="s">
        <v>150</v>
      </c>
      <c r="G2" s="19" t="s">
        <v>364</v>
      </c>
      <c r="H2" s="19" t="s">
        <v>365</v>
      </c>
      <c r="I2" s="19" t="s">
        <v>366</v>
      </c>
    </row>
    <row r="3" spans="1:9" x14ac:dyDescent="0.25">
      <c r="A3" s="17"/>
      <c r="B3" s="18" t="s">
        <v>367</v>
      </c>
      <c r="C3" s="19" t="s">
        <v>71</v>
      </c>
      <c r="D3" s="19" t="s">
        <v>208</v>
      </c>
      <c r="E3" s="19" t="s">
        <v>71</v>
      </c>
      <c r="F3" s="19" t="s">
        <v>209</v>
      </c>
      <c r="G3" s="19" t="s">
        <v>368</v>
      </c>
      <c r="H3" s="19" t="s">
        <v>369</v>
      </c>
      <c r="I3" s="19" t="s">
        <v>370</v>
      </c>
    </row>
    <row r="4" spans="1:9" x14ac:dyDescent="0.25">
      <c r="A4" s="17"/>
      <c r="B4" s="18" t="s">
        <v>371</v>
      </c>
      <c r="C4" s="19" t="s">
        <v>326</v>
      </c>
      <c r="D4" s="19" t="s">
        <v>273</v>
      </c>
      <c r="E4" s="19" t="s">
        <v>326</v>
      </c>
      <c r="F4" s="19" t="s">
        <v>274</v>
      </c>
      <c r="G4" s="19" t="s">
        <v>372</v>
      </c>
      <c r="H4" s="19" t="s">
        <v>373</v>
      </c>
      <c r="I4" s="19" t="s">
        <v>374</v>
      </c>
    </row>
    <row r="5" spans="1:9" x14ac:dyDescent="0.25">
      <c r="A5" s="17"/>
      <c r="B5" s="20" t="s">
        <v>375</v>
      </c>
      <c r="C5" s="20" t="s">
        <v>208</v>
      </c>
      <c r="D5" s="20" t="s">
        <v>277</v>
      </c>
      <c r="E5" s="20" t="s">
        <v>208</v>
      </c>
      <c r="F5" s="20" t="s">
        <v>278</v>
      </c>
      <c r="G5" s="20" t="s">
        <v>376</v>
      </c>
      <c r="H5" s="20" t="s">
        <v>377</v>
      </c>
      <c r="I5" s="20" t="s">
        <v>378</v>
      </c>
    </row>
    <row r="6" spans="1:9" x14ac:dyDescent="0.25">
      <c r="A6" s="17" t="s">
        <v>379</v>
      </c>
      <c r="B6" s="18" t="s">
        <v>363</v>
      </c>
      <c r="C6" s="19" t="s">
        <v>313</v>
      </c>
      <c r="D6" s="19" t="s">
        <v>149</v>
      </c>
      <c r="E6" s="19" t="s">
        <v>313</v>
      </c>
      <c r="F6" s="19" t="s">
        <v>150</v>
      </c>
      <c r="G6" s="19" t="s">
        <v>364</v>
      </c>
      <c r="H6" s="19" t="s">
        <v>365</v>
      </c>
      <c r="I6" s="19" t="s">
        <v>380</v>
      </c>
    </row>
    <row r="7" spans="1:9" x14ac:dyDescent="0.25">
      <c r="A7" s="17"/>
      <c r="B7" s="18" t="s">
        <v>367</v>
      </c>
      <c r="C7" s="19" t="s">
        <v>71</v>
      </c>
      <c r="D7" s="19" t="s">
        <v>208</v>
      </c>
      <c r="E7" s="19" t="s">
        <v>71</v>
      </c>
      <c r="F7" s="19" t="s">
        <v>209</v>
      </c>
      <c r="G7" s="19" t="s">
        <v>368</v>
      </c>
      <c r="H7" s="19" t="s">
        <v>369</v>
      </c>
      <c r="I7" s="19" t="s">
        <v>381</v>
      </c>
    </row>
    <row r="8" spans="1:9" x14ac:dyDescent="0.25">
      <c r="A8" s="17"/>
      <c r="B8" s="18" t="s">
        <v>371</v>
      </c>
      <c r="C8" s="19" t="s">
        <v>303</v>
      </c>
      <c r="D8" s="19" t="s">
        <v>318</v>
      </c>
      <c r="E8" s="19" t="s">
        <v>303</v>
      </c>
      <c r="F8" s="19" t="s">
        <v>319</v>
      </c>
      <c r="G8" s="19" t="s">
        <v>382</v>
      </c>
      <c r="H8" s="19" t="s">
        <v>383</v>
      </c>
      <c r="I8" s="19" t="s">
        <v>384</v>
      </c>
    </row>
    <row r="9" spans="1:9" x14ac:dyDescent="0.25">
      <c r="A9" s="17"/>
      <c r="B9" s="20" t="s">
        <v>375</v>
      </c>
      <c r="C9" s="20" t="s">
        <v>385</v>
      </c>
      <c r="D9" s="20" t="s">
        <v>321</v>
      </c>
      <c r="E9" s="20" t="s">
        <v>385</v>
      </c>
      <c r="F9" s="20" t="s">
        <v>322</v>
      </c>
      <c r="G9" s="20" t="s">
        <v>386</v>
      </c>
      <c r="H9" s="20" t="s">
        <v>387</v>
      </c>
      <c r="I9" s="20" t="s">
        <v>388</v>
      </c>
    </row>
    <row r="10" spans="1:9" x14ac:dyDescent="0.25">
      <c r="A10" s="17" t="s">
        <v>389</v>
      </c>
      <c r="B10" s="18" t="s">
        <v>363</v>
      </c>
      <c r="C10" s="19" t="s">
        <v>390</v>
      </c>
      <c r="D10" s="19" t="s">
        <v>332</v>
      </c>
      <c r="E10" s="19" t="s">
        <v>390</v>
      </c>
      <c r="F10" s="19" t="s">
        <v>333</v>
      </c>
      <c r="G10" s="19" t="s">
        <v>364</v>
      </c>
      <c r="H10" s="19" t="s">
        <v>391</v>
      </c>
      <c r="I10" s="19" t="s">
        <v>392</v>
      </c>
    </row>
    <row r="11" spans="1:9" x14ac:dyDescent="0.25">
      <c r="A11" s="17"/>
      <c r="B11" s="18" t="s">
        <v>367</v>
      </c>
      <c r="C11" s="19" t="s">
        <v>71</v>
      </c>
      <c r="D11" s="19" t="s">
        <v>208</v>
      </c>
      <c r="E11" s="19" t="s">
        <v>71</v>
      </c>
      <c r="F11" s="19" t="s">
        <v>209</v>
      </c>
      <c r="G11" s="19" t="s">
        <v>368</v>
      </c>
      <c r="H11" s="19" t="s">
        <v>369</v>
      </c>
      <c r="I11" s="19" t="s">
        <v>372</v>
      </c>
    </row>
    <row r="12" spans="1:9" x14ac:dyDescent="0.25">
      <c r="A12" s="17"/>
      <c r="B12" s="18" t="s">
        <v>371</v>
      </c>
      <c r="C12" s="19" t="s">
        <v>287</v>
      </c>
      <c r="D12" s="19" t="s">
        <v>347</v>
      </c>
      <c r="E12" s="19" t="s">
        <v>287</v>
      </c>
      <c r="F12" s="19" t="s">
        <v>348</v>
      </c>
      <c r="G12" s="19" t="s">
        <v>393</v>
      </c>
      <c r="H12" s="19" t="s">
        <v>394</v>
      </c>
      <c r="I12" s="19" t="s">
        <v>393</v>
      </c>
    </row>
    <row r="13" spans="1:9" x14ac:dyDescent="0.25">
      <c r="A13" s="17"/>
      <c r="B13" s="20" t="s">
        <v>375</v>
      </c>
      <c r="C13" s="20" t="s">
        <v>49</v>
      </c>
      <c r="D13" s="20" t="s">
        <v>350</v>
      </c>
      <c r="E13" s="20" t="s">
        <v>49</v>
      </c>
      <c r="F13" s="20" t="s">
        <v>351</v>
      </c>
      <c r="G13" s="20" t="s">
        <v>386</v>
      </c>
      <c r="H13" s="20" t="s">
        <v>395</v>
      </c>
      <c r="I13" s="20" t="s">
        <v>396</v>
      </c>
    </row>
  </sheetData>
  <mergeCells count="3">
    <mergeCell ref="A2:A5"/>
    <mergeCell ref="A6:A9"/>
    <mergeCell ref="A10:A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 showGridLines="0"/>
  </sheetViews>
  <sheetFormatPr defaultRowHeight="15" outlineLevelRow="0" outlineLevelCol="0" x14ac:dyDescent="55"/>
  <cols>
    <col min="1" max="1" width="19" customWidth="1"/>
    <col min="8" max="9" width="15" customWidth="1"/>
  </cols>
  <sheetData>
    <row r="1" spans="1:9" x14ac:dyDescent="0.25">
      <c r="A1" s="21" t="s">
        <v>353</v>
      </c>
      <c r="B1" s="21" t="s">
        <v>2</v>
      </c>
      <c r="C1" s="21" t="s">
        <v>355</v>
      </c>
      <c r="D1" s="21" t="s">
        <v>356</v>
      </c>
      <c r="E1" s="21" t="s">
        <v>357</v>
      </c>
      <c r="F1" s="21" t="s">
        <v>358</v>
      </c>
      <c r="G1" s="21" t="s">
        <v>359</v>
      </c>
      <c r="H1" s="21" t="s">
        <v>360</v>
      </c>
      <c r="I1" s="21" t="s">
        <v>361</v>
      </c>
    </row>
    <row r="2" spans="1:9" x14ac:dyDescent="0.25">
      <c r="A2" s="21" t="s">
        <v>362</v>
      </c>
      <c r="B2" s="18" t="s">
        <v>24</v>
      </c>
      <c r="C2" s="19" t="s">
        <v>397</v>
      </c>
      <c r="D2" s="19" t="s">
        <v>398</v>
      </c>
      <c r="E2" s="19" t="s">
        <v>397</v>
      </c>
      <c r="F2" s="19" t="s">
        <v>399</v>
      </c>
      <c r="G2" s="19" t="s">
        <v>382</v>
      </c>
      <c r="H2" s="19" t="s">
        <v>400</v>
      </c>
      <c r="I2" s="19" t="s">
        <v>401</v>
      </c>
    </row>
    <row r="3" spans="1:9" x14ac:dyDescent="0.25">
      <c r="A3" s="21"/>
      <c r="B3" s="18" t="s">
        <v>72</v>
      </c>
      <c r="C3" s="19" t="s">
        <v>287</v>
      </c>
      <c r="D3" s="19" t="s">
        <v>347</v>
      </c>
      <c r="E3" s="19" t="s">
        <v>287</v>
      </c>
      <c r="F3" s="19" t="s">
        <v>402</v>
      </c>
      <c r="G3" s="19" t="s">
        <v>393</v>
      </c>
      <c r="H3" s="19" t="s">
        <v>403</v>
      </c>
      <c r="I3" s="19" t="s">
        <v>404</v>
      </c>
    </row>
    <row r="4" spans="1:9" x14ac:dyDescent="0.25">
      <c r="A4" s="21"/>
      <c r="B4" s="18" t="s">
        <v>88</v>
      </c>
      <c r="C4" s="19" t="s">
        <v>203</v>
      </c>
      <c r="D4" s="19" t="s">
        <v>325</v>
      </c>
      <c r="E4" s="19" t="s">
        <v>203</v>
      </c>
      <c r="F4" s="19" t="s">
        <v>405</v>
      </c>
      <c r="G4" s="19" t="s">
        <v>406</v>
      </c>
      <c r="H4" s="19" t="s">
        <v>407</v>
      </c>
      <c r="I4" s="19" t="s">
        <v>408</v>
      </c>
    </row>
    <row r="5" spans="1:9" x14ac:dyDescent="0.25">
      <c r="A5" s="21"/>
      <c r="B5" s="18" t="s">
        <v>94</v>
      </c>
      <c r="C5" s="19" t="s">
        <v>62</v>
      </c>
      <c r="D5" s="19" t="s">
        <v>332</v>
      </c>
      <c r="E5" s="19" t="s">
        <v>62</v>
      </c>
      <c r="F5" s="19" t="s">
        <v>409</v>
      </c>
      <c r="G5" s="19" t="s">
        <v>410</v>
      </c>
      <c r="H5" s="19" t="s">
        <v>411</v>
      </c>
      <c r="I5" s="19" t="s">
        <v>412</v>
      </c>
    </row>
    <row r="6" spans="1:9" x14ac:dyDescent="0.25">
      <c r="A6" s="21"/>
      <c r="B6" s="18" t="s">
        <v>117</v>
      </c>
      <c r="C6" s="19" t="s">
        <v>325</v>
      </c>
      <c r="D6" s="19" t="s">
        <v>397</v>
      </c>
      <c r="E6" s="19" t="s">
        <v>325</v>
      </c>
      <c r="F6" s="19" t="s">
        <v>413</v>
      </c>
      <c r="G6" s="19" t="s">
        <v>382</v>
      </c>
      <c r="H6" s="19" t="s">
        <v>414</v>
      </c>
      <c r="I6" s="19" t="s">
        <v>415</v>
      </c>
    </row>
    <row r="7" spans="1:9" x14ac:dyDescent="0.25">
      <c r="A7" s="21"/>
      <c r="B7" s="18" t="s">
        <v>140</v>
      </c>
      <c r="C7" s="19" t="s">
        <v>251</v>
      </c>
      <c r="D7" s="19" t="s">
        <v>121</v>
      </c>
      <c r="E7" s="19" t="s">
        <v>251</v>
      </c>
      <c r="F7" s="19" t="s">
        <v>416</v>
      </c>
      <c r="G7" s="19" t="s">
        <v>382</v>
      </c>
      <c r="H7" s="19" t="s">
        <v>417</v>
      </c>
      <c r="I7" s="19" t="s">
        <v>418</v>
      </c>
    </row>
    <row r="8" spans="1:9" x14ac:dyDescent="0.25">
      <c r="A8" s="21"/>
      <c r="B8" s="20" t="s">
        <v>375</v>
      </c>
      <c r="C8" s="20" t="s">
        <v>208</v>
      </c>
      <c r="D8" s="20" t="s">
        <v>277</v>
      </c>
      <c r="E8" s="20" t="s">
        <v>208</v>
      </c>
      <c r="F8" s="20" t="s">
        <v>278</v>
      </c>
      <c r="G8" s="20" t="s">
        <v>376</v>
      </c>
      <c r="H8" s="20" t="s">
        <v>377</v>
      </c>
      <c r="I8" s="20" t="s">
        <v>378</v>
      </c>
    </row>
    <row r="9" spans="1:9" x14ac:dyDescent="0.25">
      <c r="A9" s="21" t="s">
        <v>379</v>
      </c>
      <c r="B9" s="18" t="s">
        <v>24</v>
      </c>
      <c r="C9" s="19" t="s">
        <v>397</v>
      </c>
      <c r="D9" s="19" t="s">
        <v>44</v>
      </c>
      <c r="E9" s="19" t="s">
        <v>397</v>
      </c>
      <c r="F9" s="19" t="s">
        <v>419</v>
      </c>
      <c r="G9" s="19" t="s">
        <v>386</v>
      </c>
      <c r="H9" s="19" t="s">
        <v>420</v>
      </c>
      <c r="I9" s="19" t="s">
        <v>421</v>
      </c>
    </row>
    <row r="10" spans="1:9" x14ac:dyDescent="0.25">
      <c r="A10" s="21"/>
      <c r="B10" s="18" t="s">
        <v>72</v>
      </c>
      <c r="C10" s="19" t="s">
        <v>287</v>
      </c>
      <c r="D10" s="19" t="s">
        <v>347</v>
      </c>
      <c r="E10" s="19" t="s">
        <v>287</v>
      </c>
      <c r="F10" s="19" t="s">
        <v>402</v>
      </c>
      <c r="G10" s="19" t="s">
        <v>393</v>
      </c>
      <c r="H10" s="19" t="s">
        <v>403</v>
      </c>
      <c r="I10" s="19" t="s">
        <v>406</v>
      </c>
    </row>
    <row r="11" spans="1:9" x14ac:dyDescent="0.25">
      <c r="A11" s="21"/>
      <c r="B11" s="18" t="s">
        <v>88</v>
      </c>
      <c r="C11" s="19" t="s">
        <v>203</v>
      </c>
      <c r="D11" s="19" t="s">
        <v>325</v>
      </c>
      <c r="E11" s="19" t="s">
        <v>203</v>
      </c>
      <c r="F11" s="19" t="s">
        <v>405</v>
      </c>
      <c r="G11" s="19" t="s">
        <v>406</v>
      </c>
      <c r="H11" s="19" t="s">
        <v>407</v>
      </c>
      <c r="I11" s="19" t="s">
        <v>422</v>
      </c>
    </row>
    <row r="12" spans="1:9" x14ac:dyDescent="0.25">
      <c r="A12" s="21"/>
      <c r="B12" s="18" t="s">
        <v>94</v>
      </c>
      <c r="C12" s="19" t="s">
        <v>143</v>
      </c>
      <c r="D12" s="19" t="s">
        <v>130</v>
      </c>
      <c r="E12" s="19" t="s">
        <v>143</v>
      </c>
      <c r="F12" s="19" t="s">
        <v>423</v>
      </c>
      <c r="G12" s="19" t="s">
        <v>376</v>
      </c>
      <c r="H12" s="19" t="s">
        <v>424</v>
      </c>
      <c r="I12" s="19" t="s">
        <v>425</v>
      </c>
    </row>
    <row r="13" spans="1:9" x14ac:dyDescent="0.25">
      <c r="A13" s="21"/>
      <c r="B13" s="18" t="s">
        <v>117</v>
      </c>
      <c r="C13" s="19" t="s">
        <v>325</v>
      </c>
      <c r="D13" s="19" t="s">
        <v>139</v>
      </c>
      <c r="E13" s="19" t="s">
        <v>325</v>
      </c>
      <c r="F13" s="19" t="s">
        <v>426</v>
      </c>
      <c r="G13" s="19" t="s">
        <v>393</v>
      </c>
      <c r="H13" s="19" t="s">
        <v>427</v>
      </c>
      <c r="I13" s="19" t="s">
        <v>428</v>
      </c>
    </row>
    <row r="14" spans="1:9" x14ac:dyDescent="0.25">
      <c r="A14" s="21"/>
      <c r="B14" s="18" t="s">
        <v>140</v>
      </c>
      <c r="C14" s="19" t="s">
        <v>251</v>
      </c>
      <c r="D14" s="19" t="s">
        <v>121</v>
      </c>
      <c r="E14" s="19" t="s">
        <v>251</v>
      </c>
      <c r="F14" s="19" t="s">
        <v>416</v>
      </c>
      <c r="G14" s="19" t="s">
        <v>382</v>
      </c>
      <c r="H14" s="19" t="s">
        <v>417</v>
      </c>
      <c r="I14" s="19" t="s">
        <v>429</v>
      </c>
    </row>
    <row r="15" spans="1:9" x14ac:dyDescent="0.25">
      <c r="A15" s="21"/>
      <c r="B15" s="20" t="s">
        <v>375</v>
      </c>
      <c r="C15" s="20" t="s">
        <v>385</v>
      </c>
      <c r="D15" s="20" t="s">
        <v>321</v>
      </c>
      <c r="E15" s="20" t="s">
        <v>385</v>
      </c>
      <c r="F15" s="20" t="s">
        <v>322</v>
      </c>
      <c r="G15" s="20" t="s">
        <v>386</v>
      </c>
      <c r="H15" s="20" t="s">
        <v>387</v>
      </c>
      <c r="I15" s="20" t="s">
        <v>388</v>
      </c>
    </row>
    <row r="16" spans="1:9" x14ac:dyDescent="0.25">
      <c r="A16" s="21" t="s">
        <v>389</v>
      </c>
      <c r="B16" s="18" t="s">
        <v>24</v>
      </c>
      <c r="C16" s="19" t="s">
        <v>430</v>
      </c>
      <c r="D16" s="19" t="s">
        <v>431</v>
      </c>
      <c r="E16" s="19" t="s">
        <v>430</v>
      </c>
      <c r="F16" s="19" t="s">
        <v>432</v>
      </c>
      <c r="G16" s="19" t="s">
        <v>386</v>
      </c>
      <c r="H16" s="19" t="s">
        <v>433</v>
      </c>
      <c r="I16" s="19" t="s">
        <v>434</v>
      </c>
    </row>
    <row r="17" spans="1:9" x14ac:dyDescent="0.25">
      <c r="A17" s="21"/>
      <c r="B17" s="18" t="s">
        <v>72</v>
      </c>
      <c r="C17" s="19" t="s">
        <v>293</v>
      </c>
      <c r="D17" s="19" t="s">
        <v>326</v>
      </c>
      <c r="E17" s="19" t="s">
        <v>293</v>
      </c>
      <c r="F17" s="19" t="s">
        <v>435</v>
      </c>
      <c r="G17" s="19" t="s">
        <v>386</v>
      </c>
      <c r="H17" s="19" t="s">
        <v>436</v>
      </c>
      <c r="I17" s="19" t="s">
        <v>428</v>
      </c>
    </row>
    <row r="18" spans="1:9" x14ac:dyDescent="0.25">
      <c r="A18" s="21"/>
      <c r="B18" s="18" t="s">
        <v>88</v>
      </c>
      <c r="C18" s="19" t="s">
        <v>31</v>
      </c>
      <c r="D18" s="19" t="s">
        <v>293</v>
      </c>
      <c r="E18" s="19" t="s">
        <v>31</v>
      </c>
      <c r="F18" s="19" t="s">
        <v>437</v>
      </c>
      <c r="G18" s="19" t="s">
        <v>382</v>
      </c>
      <c r="H18" s="19" t="s">
        <v>438</v>
      </c>
      <c r="I18" s="19" t="s">
        <v>439</v>
      </c>
    </row>
    <row r="19" spans="1:9" x14ac:dyDescent="0.25">
      <c r="A19" s="21"/>
      <c r="B19" s="18" t="s">
        <v>94</v>
      </c>
      <c r="C19" s="19" t="s">
        <v>296</v>
      </c>
      <c r="D19" s="19" t="s">
        <v>440</v>
      </c>
      <c r="E19" s="19" t="s">
        <v>296</v>
      </c>
      <c r="F19" s="19" t="s">
        <v>441</v>
      </c>
      <c r="G19" s="19" t="s">
        <v>376</v>
      </c>
      <c r="H19" s="19" t="s">
        <v>442</v>
      </c>
      <c r="I19" s="19" t="s">
        <v>443</v>
      </c>
    </row>
    <row r="20" spans="1:9" x14ac:dyDescent="0.25">
      <c r="A20" s="21"/>
      <c r="B20" s="18" t="s">
        <v>117</v>
      </c>
      <c r="C20" s="19" t="s">
        <v>282</v>
      </c>
      <c r="D20" s="19" t="s">
        <v>62</v>
      </c>
      <c r="E20" s="19" t="s">
        <v>282</v>
      </c>
      <c r="F20" s="19" t="s">
        <v>444</v>
      </c>
      <c r="G20" s="19" t="s">
        <v>393</v>
      </c>
      <c r="H20" s="19" t="s">
        <v>445</v>
      </c>
      <c r="I20" s="19" t="s">
        <v>446</v>
      </c>
    </row>
    <row r="21" spans="1:9" x14ac:dyDescent="0.25">
      <c r="A21" s="21"/>
      <c r="B21" s="18" t="s">
        <v>140</v>
      </c>
      <c r="C21" s="19" t="s">
        <v>203</v>
      </c>
      <c r="D21" s="19" t="s">
        <v>325</v>
      </c>
      <c r="E21" s="19" t="s">
        <v>203</v>
      </c>
      <c r="F21" s="19" t="s">
        <v>447</v>
      </c>
      <c r="G21" s="19" t="s">
        <v>406</v>
      </c>
      <c r="H21" s="19" t="s">
        <v>448</v>
      </c>
      <c r="I21" s="19" t="s">
        <v>449</v>
      </c>
    </row>
    <row r="22" spans="1:9" x14ac:dyDescent="0.25">
      <c r="A22" s="21"/>
      <c r="B22" s="20" t="s">
        <v>375</v>
      </c>
      <c r="C22" s="20" t="s">
        <v>49</v>
      </c>
      <c r="D22" s="20" t="s">
        <v>350</v>
      </c>
      <c r="E22" s="20" t="s">
        <v>49</v>
      </c>
      <c r="F22" s="20" t="s">
        <v>351</v>
      </c>
      <c r="G22" s="20" t="s">
        <v>386</v>
      </c>
      <c r="H22" s="20" t="s">
        <v>395</v>
      </c>
      <c r="I22" s="20" t="s">
        <v>396</v>
      </c>
    </row>
  </sheetData>
  <mergeCells count="3">
    <mergeCell ref="A2:A8"/>
    <mergeCell ref="A9:A15"/>
    <mergeCell ref="A16:A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 showGridLines="0"/>
  </sheetViews>
  <sheetFormatPr defaultRowHeight="15" outlineLevelRow="0" outlineLevelCol="0" x14ac:dyDescent="55"/>
  <cols>
    <col min="1" max="2" width="17" customWidth="1"/>
    <col min="6" max="6" width="15" customWidth="1"/>
  </cols>
  <sheetData>
    <row r="1" spans="1:6" x14ac:dyDescent="0.25">
      <c r="A1" s="22" t="s">
        <v>353</v>
      </c>
      <c r="B1" s="22" t="s">
        <v>450</v>
      </c>
      <c r="C1" s="23" t="s">
        <v>0</v>
      </c>
      <c r="D1" s="23"/>
      <c r="E1" s="23"/>
      <c r="F1" s="23"/>
    </row>
    <row r="2" spans="1:6" x14ac:dyDescent="0.25">
      <c r="A2" s="17" t="s">
        <v>353</v>
      </c>
      <c r="B2" s="17" t="s">
        <v>451</v>
      </c>
      <c r="C2" s="17" t="s">
        <v>452</v>
      </c>
      <c r="D2" s="17" t="s">
        <v>453</v>
      </c>
      <c r="E2" s="17" t="s">
        <v>22</v>
      </c>
      <c r="F2" s="24" t="s">
        <v>361</v>
      </c>
    </row>
    <row r="3" spans="1:6" x14ac:dyDescent="0.25">
      <c r="A3" s="17" t="s">
        <v>362</v>
      </c>
      <c r="B3" s="18" t="s">
        <v>363</v>
      </c>
      <c r="C3" s="19" t="s">
        <v>313</v>
      </c>
      <c r="D3" s="19" t="s">
        <v>149</v>
      </c>
      <c r="E3" s="19" t="s">
        <v>150</v>
      </c>
      <c r="F3" s="25" t="s">
        <v>454</v>
      </c>
    </row>
    <row r="4" spans="1:6" x14ac:dyDescent="0.25">
      <c r="A4" s="17"/>
      <c r="B4" s="18" t="s">
        <v>367</v>
      </c>
      <c r="C4" s="19" t="s">
        <v>71</v>
      </c>
      <c r="D4" s="19" t="s">
        <v>208</v>
      </c>
      <c r="E4" s="19" t="s">
        <v>209</v>
      </c>
      <c r="F4" s="25" t="s">
        <v>455</v>
      </c>
    </row>
    <row r="5" spans="1:6" x14ac:dyDescent="0.25">
      <c r="A5" s="17"/>
      <c r="B5" s="18" t="s">
        <v>371</v>
      </c>
      <c r="C5" s="19" t="s">
        <v>326</v>
      </c>
      <c r="D5" s="19" t="s">
        <v>273</v>
      </c>
      <c r="E5" s="19" t="s">
        <v>274</v>
      </c>
      <c r="F5" s="25" t="s">
        <v>456</v>
      </c>
    </row>
    <row r="6" spans="1:6" x14ac:dyDescent="0.25">
      <c r="A6" s="17"/>
      <c r="B6" s="20" t="s">
        <v>457</v>
      </c>
      <c r="C6" s="26" t="s">
        <v>458</v>
      </c>
      <c r="D6" s="26" t="s">
        <v>459</v>
      </c>
      <c r="E6" s="26" t="s">
        <v>460</v>
      </c>
      <c r="F6" s="27" t="s">
        <v>461</v>
      </c>
    </row>
    <row r="7" spans="1:6" x14ac:dyDescent="0.25">
      <c r="A7" s="17" t="s">
        <v>379</v>
      </c>
      <c r="B7" s="18" t="s">
        <v>363</v>
      </c>
      <c r="C7" s="19" t="s">
        <v>313</v>
      </c>
      <c r="D7" s="19" t="s">
        <v>149</v>
      </c>
      <c r="E7" s="19" t="s">
        <v>150</v>
      </c>
      <c r="F7" s="25" t="s">
        <v>462</v>
      </c>
    </row>
    <row r="8" spans="1:6" x14ac:dyDescent="0.25">
      <c r="A8" s="17"/>
      <c r="B8" s="18" t="s">
        <v>367</v>
      </c>
      <c r="C8" s="19" t="s">
        <v>71</v>
      </c>
      <c r="D8" s="19" t="s">
        <v>208</v>
      </c>
      <c r="E8" s="19" t="s">
        <v>209</v>
      </c>
      <c r="F8" s="25" t="s">
        <v>463</v>
      </c>
    </row>
    <row r="9" spans="1:6" x14ac:dyDescent="0.25">
      <c r="A9" s="17"/>
      <c r="B9" s="18" t="s">
        <v>371</v>
      </c>
      <c r="C9" s="19" t="s">
        <v>303</v>
      </c>
      <c r="D9" s="19" t="s">
        <v>318</v>
      </c>
      <c r="E9" s="19" t="s">
        <v>319</v>
      </c>
      <c r="F9" s="25" t="s">
        <v>464</v>
      </c>
    </row>
    <row r="10" spans="1:6" x14ac:dyDescent="0.25">
      <c r="A10" s="17"/>
      <c r="B10" s="20" t="s">
        <v>457</v>
      </c>
      <c r="C10" s="26" t="s">
        <v>465</v>
      </c>
      <c r="D10" s="26" t="s">
        <v>466</v>
      </c>
      <c r="E10" s="26" t="s">
        <v>467</v>
      </c>
      <c r="F10" s="27" t="s">
        <v>468</v>
      </c>
    </row>
    <row r="11" spans="1:6" x14ac:dyDescent="0.25">
      <c r="A11" s="17" t="s">
        <v>389</v>
      </c>
      <c r="B11" s="18" t="s">
        <v>363</v>
      </c>
      <c r="C11" s="19" t="s">
        <v>390</v>
      </c>
      <c r="D11" s="19" t="s">
        <v>332</v>
      </c>
      <c r="E11" s="19" t="s">
        <v>333</v>
      </c>
      <c r="F11" s="25" t="s">
        <v>469</v>
      </c>
    </row>
    <row r="12" spans="1:6" x14ac:dyDescent="0.25">
      <c r="A12" s="17"/>
      <c r="B12" s="18" t="s">
        <v>367</v>
      </c>
      <c r="C12" s="19" t="s">
        <v>71</v>
      </c>
      <c r="D12" s="19" t="s">
        <v>208</v>
      </c>
      <c r="E12" s="19" t="s">
        <v>209</v>
      </c>
      <c r="F12" s="25" t="s">
        <v>470</v>
      </c>
    </row>
    <row r="13" spans="1:6" x14ac:dyDescent="0.25">
      <c r="A13" s="17"/>
      <c r="B13" s="18" t="s">
        <v>371</v>
      </c>
      <c r="C13" s="19" t="s">
        <v>287</v>
      </c>
      <c r="D13" s="19" t="s">
        <v>347</v>
      </c>
      <c r="E13" s="19" t="s">
        <v>348</v>
      </c>
      <c r="F13" s="25" t="s">
        <v>471</v>
      </c>
    </row>
    <row r="14" spans="1:6" x14ac:dyDescent="0.25">
      <c r="A14" s="17"/>
      <c r="B14" s="20" t="s">
        <v>457</v>
      </c>
      <c r="C14" s="26" t="s">
        <v>472</v>
      </c>
      <c r="D14" s="26" t="s">
        <v>473</v>
      </c>
      <c r="E14" s="26" t="s">
        <v>474</v>
      </c>
      <c r="F14" s="27" t="s">
        <v>475</v>
      </c>
    </row>
  </sheetData>
  <mergeCells count="4">
    <mergeCell ref="C1:F1"/>
    <mergeCell ref="A3:A6"/>
    <mergeCell ref="A7:A10"/>
    <mergeCell ref="A11:A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4" topLeftCell="A5" activePane="bottomLeft" state="frozen"/>
      <selection pane="bottomLeft"/>
    </sheetView>
    <sheetView workbookViewId="0" showGridLines="0"/>
  </sheetViews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6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16" customWidth="1"/>
    <col min="4" max="4" width="10" customWidth="1"/>
    <col min="5" max="5" width="11" customWidth="1"/>
    <col min="7" max="7" width="13" customWidth="1"/>
    <col min="8" max="8" width="15" customWidth="1"/>
    <col min="9" max="9" width="11" customWidth="1"/>
  </cols>
  <sheetData>
    <row r="2" spans="1:8" x14ac:dyDescent="0.25">
      <c r="A2" s="28" t="s">
        <v>476</v>
      </c>
      <c r="B2" s="28"/>
      <c r="C2" s="28"/>
      <c r="D2" s="28"/>
      <c r="E2" s="28"/>
      <c r="F2" s="28"/>
      <c r="G2" s="28"/>
      <c r="H2" s="28"/>
    </row>
    <row r="3" spans="1:9" x14ac:dyDescent="0.25">
      <c r="A3" s="29" t="s">
        <v>353</v>
      </c>
      <c r="B3" s="29" t="s">
        <v>477</v>
      </c>
      <c r="C3" s="29" t="s">
        <v>354</v>
      </c>
      <c r="D3" s="29" t="s">
        <v>355</v>
      </c>
      <c r="E3" s="29" t="s">
        <v>356</v>
      </c>
      <c r="F3" s="29" t="s">
        <v>359</v>
      </c>
      <c r="G3" s="29" t="s">
        <v>357</v>
      </c>
      <c r="H3" s="29" t="s">
        <v>7</v>
      </c>
      <c r="I3" s="30" t="s">
        <v>360</v>
      </c>
    </row>
    <row r="4" spans="1:9" x14ac:dyDescent="0.25">
      <c r="A4" s="31" t="s">
        <v>362</v>
      </c>
      <c r="B4" s="32" t="s">
        <v>26</v>
      </c>
      <c r="C4" s="32" t="s">
        <v>478</v>
      </c>
      <c r="D4" s="33" t="s">
        <v>313</v>
      </c>
      <c r="E4" s="33" t="s">
        <v>150</v>
      </c>
      <c r="F4" s="33" t="s">
        <v>364</v>
      </c>
      <c r="G4" s="33" t="s">
        <v>313</v>
      </c>
      <c r="H4" s="33" t="s">
        <v>150</v>
      </c>
      <c r="I4" s="34" t="s">
        <v>366</v>
      </c>
    </row>
    <row r="5" spans="1:9" x14ac:dyDescent="0.25">
      <c r="A5" s="31"/>
      <c r="B5" s="32"/>
      <c r="C5" s="32" t="s">
        <v>375</v>
      </c>
      <c r="D5" s="35" t="s">
        <v>313</v>
      </c>
      <c r="E5" s="35" t="s">
        <v>149</v>
      </c>
      <c r="F5" s="35" t="s">
        <v>364</v>
      </c>
      <c r="G5" s="35" t="s">
        <v>313</v>
      </c>
      <c r="H5" s="35" t="s">
        <v>150</v>
      </c>
      <c r="I5" s="36" t="s">
        <v>366</v>
      </c>
    </row>
    <row r="6" spans="1:9" x14ac:dyDescent="0.25">
      <c r="A6" s="31"/>
      <c r="B6" s="37" t="s">
        <v>27</v>
      </c>
      <c r="C6" s="37" t="s">
        <v>478</v>
      </c>
      <c r="D6" s="33" t="s">
        <v>313</v>
      </c>
      <c r="E6" s="33" t="s">
        <v>150</v>
      </c>
      <c r="F6" s="33" t="s">
        <v>364</v>
      </c>
      <c r="G6" s="33" t="s">
        <v>313</v>
      </c>
      <c r="H6" s="33" t="s">
        <v>150</v>
      </c>
      <c r="I6" s="34" t="s">
        <v>366</v>
      </c>
    </row>
    <row r="7" spans="1:9" x14ac:dyDescent="0.25">
      <c r="A7" s="31"/>
      <c r="B7" s="37"/>
      <c r="C7" s="37" t="s">
        <v>479</v>
      </c>
      <c r="D7" s="33" t="s">
        <v>139</v>
      </c>
      <c r="E7" s="33" t="s">
        <v>480</v>
      </c>
      <c r="F7" s="33" t="s">
        <v>364</v>
      </c>
      <c r="G7" s="33" t="s">
        <v>139</v>
      </c>
      <c r="H7" s="33" t="s">
        <v>480</v>
      </c>
      <c r="I7" s="34" t="s">
        <v>481</v>
      </c>
    </row>
    <row r="8" spans="1:9" x14ac:dyDescent="0.25">
      <c r="A8" s="31"/>
      <c r="B8" s="37"/>
      <c r="C8" s="37" t="s">
        <v>482</v>
      </c>
      <c r="D8" s="33" t="s">
        <v>326</v>
      </c>
      <c r="E8" s="33" t="s">
        <v>274</v>
      </c>
      <c r="F8" s="33" t="s">
        <v>372</v>
      </c>
      <c r="G8" s="33" t="s">
        <v>326</v>
      </c>
      <c r="H8" s="33" t="s">
        <v>274</v>
      </c>
      <c r="I8" s="34" t="s">
        <v>374</v>
      </c>
    </row>
    <row r="9" spans="1:9" x14ac:dyDescent="0.25">
      <c r="A9" s="31"/>
      <c r="B9" s="37"/>
      <c r="C9" s="37" t="s">
        <v>375</v>
      </c>
      <c r="D9" s="38" t="s">
        <v>385</v>
      </c>
      <c r="E9" s="38" t="s">
        <v>85</v>
      </c>
      <c r="F9" s="38" t="s">
        <v>393</v>
      </c>
      <c r="G9" s="38" t="s">
        <v>385</v>
      </c>
      <c r="H9" s="38" t="s">
        <v>483</v>
      </c>
      <c r="I9" s="39" t="s">
        <v>484</v>
      </c>
    </row>
    <row r="10" spans="1:9" x14ac:dyDescent="0.25">
      <c r="A10" s="31"/>
      <c r="B10" s="40" t="s">
        <v>153</v>
      </c>
      <c r="C10" s="40" t="s">
        <v>479</v>
      </c>
      <c r="D10" s="33" t="s">
        <v>71</v>
      </c>
      <c r="E10" s="33" t="s">
        <v>209</v>
      </c>
      <c r="F10" s="33" t="s">
        <v>368</v>
      </c>
      <c r="G10" s="33" t="s">
        <v>71</v>
      </c>
      <c r="H10" s="33" t="s">
        <v>209</v>
      </c>
      <c r="I10" s="34" t="s">
        <v>370</v>
      </c>
    </row>
    <row r="11" spans="1:9" x14ac:dyDescent="0.25">
      <c r="A11" s="31"/>
      <c r="B11" s="40"/>
      <c r="C11" s="40" t="s">
        <v>482</v>
      </c>
      <c r="D11" s="33" t="s">
        <v>326</v>
      </c>
      <c r="E11" s="33" t="s">
        <v>274</v>
      </c>
      <c r="F11" s="33" t="s">
        <v>372</v>
      </c>
      <c r="G11" s="33" t="s">
        <v>326</v>
      </c>
      <c r="H11" s="33" t="s">
        <v>274</v>
      </c>
      <c r="I11" s="34" t="s">
        <v>374</v>
      </c>
    </row>
    <row r="12" spans="1:9" x14ac:dyDescent="0.25">
      <c r="A12" s="31"/>
      <c r="B12" s="40"/>
      <c r="C12" s="40" t="s">
        <v>375</v>
      </c>
      <c r="D12" s="41" t="s">
        <v>485</v>
      </c>
      <c r="E12" s="41" t="s">
        <v>486</v>
      </c>
      <c r="F12" s="41" t="s">
        <v>487</v>
      </c>
      <c r="G12" s="41" t="s">
        <v>485</v>
      </c>
      <c r="H12" s="41" t="s">
        <v>488</v>
      </c>
      <c r="I12" s="42" t="s">
        <v>489</v>
      </c>
    </row>
    <row r="13" spans="1:9" x14ac:dyDescent="0.25">
      <c r="A13" s="31"/>
      <c r="B13" s="43" t="s">
        <v>156</v>
      </c>
      <c r="C13" s="44" t="s">
        <v>479</v>
      </c>
      <c r="D13" s="33" t="s">
        <v>71</v>
      </c>
      <c r="E13" s="33" t="s">
        <v>490</v>
      </c>
      <c r="F13" s="33" t="s">
        <v>491</v>
      </c>
      <c r="G13" s="33" t="s">
        <v>71</v>
      </c>
      <c r="H13" s="33" t="s">
        <v>490</v>
      </c>
      <c r="I13" s="34" t="s">
        <v>492</v>
      </c>
    </row>
    <row r="14" spans="1:9" x14ac:dyDescent="0.25">
      <c r="A14" s="31"/>
      <c r="B14" s="43"/>
      <c r="C14" s="43" t="s">
        <v>375</v>
      </c>
      <c r="D14" s="45" t="s">
        <v>71</v>
      </c>
      <c r="E14" s="45" t="s">
        <v>281</v>
      </c>
      <c r="F14" s="45" t="s">
        <v>491</v>
      </c>
      <c r="G14" s="45" t="s">
        <v>71</v>
      </c>
      <c r="H14" s="45" t="s">
        <v>490</v>
      </c>
      <c r="I14" s="46" t="s">
        <v>492</v>
      </c>
    </row>
    <row r="15" spans="1:9" x14ac:dyDescent="0.25">
      <c r="A15" s="31" t="s">
        <v>379</v>
      </c>
      <c r="B15" s="32" t="s">
        <v>26</v>
      </c>
      <c r="C15" s="32" t="s">
        <v>478</v>
      </c>
      <c r="D15" s="33" t="s">
        <v>313</v>
      </c>
      <c r="E15" s="33" t="s">
        <v>150</v>
      </c>
      <c r="F15" s="33" t="s">
        <v>364</v>
      </c>
      <c r="G15" s="33" t="s">
        <v>313</v>
      </c>
      <c r="H15" s="33" t="s">
        <v>150</v>
      </c>
      <c r="I15" s="34" t="s">
        <v>380</v>
      </c>
    </row>
    <row r="16" spans="1:9" x14ac:dyDescent="0.25">
      <c r="A16" s="31"/>
      <c r="B16" s="32"/>
      <c r="C16" s="32" t="s">
        <v>375</v>
      </c>
      <c r="D16" s="35" t="s">
        <v>313</v>
      </c>
      <c r="E16" s="35" t="s">
        <v>149</v>
      </c>
      <c r="F16" s="35" t="s">
        <v>364</v>
      </c>
      <c r="G16" s="35" t="s">
        <v>313</v>
      </c>
      <c r="H16" s="35" t="s">
        <v>150</v>
      </c>
      <c r="I16" s="36" t="s">
        <v>380</v>
      </c>
    </row>
    <row r="17" spans="1:9" x14ac:dyDescent="0.25">
      <c r="A17" s="31"/>
      <c r="B17" s="37" t="s">
        <v>27</v>
      </c>
      <c r="C17" s="37" t="s">
        <v>478</v>
      </c>
      <c r="D17" s="33" t="s">
        <v>313</v>
      </c>
      <c r="E17" s="33" t="s">
        <v>150</v>
      </c>
      <c r="F17" s="33" t="s">
        <v>364</v>
      </c>
      <c r="G17" s="33" t="s">
        <v>313</v>
      </c>
      <c r="H17" s="33" t="s">
        <v>150</v>
      </c>
      <c r="I17" s="34" t="s">
        <v>380</v>
      </c>
    </row>
    <row r="18" spans="1:9" x14ac:dyDescent="0.25">
      <c r="A18" s="31"/>
      <c r="B18" s="37"/>
      <c r="C18" s="37" t="s">
        <v>479</v>
      </c>
      <c r="D18" s="33" t="s">
        <v>430</v>
      </c>
      <c r="E18" s="33" t="s">
        <v>493</v>
      </c>
      <c r="F18" s="33" t="s">
        <v>364</v>
      </c>
      <c r="G18" s="33" t="s">
        <v>430</v>
      </c>
      <c r="H18" s="33" t="s">
        <v>493</v>
      </c>
      <c r="I18" s="34" t="s">
        <v>406</v>
      </c>
    </row>
    <row r="19" spans="1:9" x14ac:dyDescent="0.25">
      <c r="A19" s="31"/>
      <c r="B19" s="37"/>
      <c r="C19" s="37" t="s">
        <v>482</v>
      </c>
      <c r="D19" s="33" t="s">
        <v>303</v>
      </c>
      <c r="E19" s="33" t="s">
        <v>319</v>
      </c>
      <c r="F19" s="33" t="s">
        <v>382</v>
      </c>
      <c r="G19" s="33" t="s">
        <v>303</v>
      </c>
      <c r="H19" s="33" t="s">
        <v>319</v>
      </c>
      <c r="I19" s="34" t="s">
        <v>384</v>
      </c>
    </row>
    <row r="20" spans="1:9" x14ac:dyDescent="0.25">
      <c r="A20" s="31"/>
      <c r="B20" s="37"/>
      <c r="C20" s="37" t="s">
        <v>375</v>
      </c>
      <c r="D20" s="38" t="s">
        <v>494</v>
      </c>
      <c r="E20" s="38" t="s">
        <v>495</v>
      </c>
      <c r="F20" s="38" t="s">
        <v>434</v>
      </c>
      <c r="G20" s="38" t="s">
        <v>494</v>
      </c>
      <c r="H20" s="38" t="s">
        <v>496</v>
      </c>
      <c r="I20" s="39" t="s">
        <v>497</v>
      </c>
    </row>
    <row r="21" spans="1:9" x14ac:dyDescent="0.25">
      <c r="A21" s="31"/>
      <c r="B21" s="40" t="s">
        <v>153</v>
      </c>
      <c r="C21" s="40" t="s">
        <v>479</v>
      </c>
      <c r="D21" s="33" t="s">
        <v>71</v>
      </c>
      <c r="E21" s="33" t="s">
        <v>209</v>
      </c>
      <c r="F21" s="33" t="s">
        <v>368</v>
      </c>
      <c r="G21" s="33" t="s">
        <v>71</v>
      </c>
      <c r="H21" s="33" t="s">
        <v>209</v>
      </c>
      <c r="I21" s="34" t="s">
        <v>381</v>
      </c>
    </row>
    <row r="22" spans="1:9" x14ac:dyDescent="0.25">
      <c r="A22" s="31"/>
      <c r="B22" s="40"/>
      <c r="C22" s="40" t="s">
        <v>482</v>
      </c>
      <c r="D22" s="33" t="s">
        <v>303</v>
      </c>
      <c r="E22" s="33" t="s">
        <v>319</v>
      </c>
      <c r="F22" s="33" t="s">
        <v>382</v>
      </c>
      <c r="G22" s="33" t="s">
        <v>303</v>
      </c>
      <c r="H22" s="33" t="s">
        <v>319</v>
      </c>
      <c r="I22" s="34" t="s">
        <v>384</v>
      </c>
    </row>
    <row r="23" spans="1:9" x14ac:dyDescent="0.25">
      <c r="A23" s="31"/>
      <c r="B23" s="40"/>
      <c r="C23" s="40" t="s">
        <v>375</v>
      </c>
      <c r="D23" s="41" t="s">
        <v>240</v>
      </c>
      <c r="E23" s="41" t="s">
        <v>247</v>
      </c>
      <c r="F23" s="41" t="s">
        <v>410</v>
      </c>
      <c r="G23" s="41" t="s">
        <v>240</v>
      </c>
      <c r="H23" s="41" t="s">
        <v>498</v>
      </c>
      <c r="I23" s="42" t="s">
        <v>392</v>
      </c>
    </row>
    <row r="24" spans="1:9" x14ac:dyDescent="0.25">
      <c r="A24" s="31"/>
      <c r="B24" s="43" t="s">
        <v>156</v>
      </c>
      <c r="C24" s="44" t="s">
        <v>479</v>
      </c>
      <c r="D24" s="33" t="s">
        <v>71</v>
      </c>
      <c r="E24" s="33" t="s">
        <v>499</v>
      </c>
      <c r="F24" s="33" t="s">
        <v>446</v>
      </c>
      <c r="G24" s="33" t="s">
        <v>71</v>
      </c>
      <c r="H24" s="33" t="s">
        <v>499</v>
      </c>
      <c r="I24" s="34" t="s">
        <v>384</v>
      </c>
    </row>
    <row r="25" spans="1:9" x14ac:dyDescent="0.25">
      <c r="A25" s="31"/>
      <c r="B25" s="43"/>
      <c r="C25" s="43" t="s">
        <v>375</v>
      </c>
      <c r="D25" s="45" t="s">
        <v>71</v>
      </c>
      <c r="E25" s="45" t="s">
        <v>327</v>
      </c>
      <c r="F25" s="45" t="s">
        <v>446</v>
      </c>
      <c r="G25" s="45" t="s">
        <v>71</v>
      </c>
      <c r="H25" s="45" t="s">
        <v>499</v>
      </c>
      <c r="I25" s="46" t="s">
        <v>384</v>
      </c>
    </row>
    <row r="26" spans="1:9" x14ac:dyDescent="0.25">
      <c r="A26" s="31" t="s">
        <v>389</v>
      </c>
      <c r="B26" s="32" t="s">
        <v>26</v>
      </c>
      <c r="C26" s="32" t="s">
        <v>478</v>
      </c>
      <c r="D26" s="33" t="s">
        <v>390</v>
      </c>
      <c r="E26" s="33" t="s">
        <v>333</v>
      </c>
      <c r="F26" s="33" t="s">
        <v>364</v>
      </c>
      <c r="G26" s="33" t="s">
        <v>390</v>
      </c>
      <c r="H26" s="33" t="s">
        <v>333</v>
      </c>
      <c r="I26" s="34" t="s">
        <v>392</v>
      </c>
    </row>
    <row r="27" spans="1:9" x14ac:dyDescent="0.25">
      <c r="A27" s="31"/>
      <c r="B27" s="32"/>
      <c r="C27" s="32" t="s">
        <v>375</v>
      </c>
      <c r="D27" s="35" t="s">
        <v>390</v>
      </c>
      <c r="E27" s="35" t="s">
        <v>332</v>
      </c>
      <c r="F27" s="35" t="s">
        <v>364</v>
      </c>
      <c r="G27" s="35" t="s">
        <v>390</v>
      </c>
      <c r="H27" s="35" t="s">
        <v>333</v>
      </c>
      <c r="I27" s="36" t="s">
        <v>392</v>
      </c>
    </row>
    <row r="28" spans="1:9" x14ac:dyDescent="0.25">
      <c r="A28" s="31"/>
      <c r="B28" s="37" t="s">
        <v>27</v>
      </c>
      <c r="C28" s="37" t="s">
        <v>478</v>
      </c>
      <c r="D28" s="33" t="s">
        <v>390</v>
      </c>
      <c r="E28" s="33" t="s">
        <v>333</v>
      </c>
      <c r="F28" s="33" t="s">
        <v>364</v>
      </c>
      <c r="G28" s="33" t="s">
        <v>390</v>
      </c>
      <c r="H28" s="33" t="s">
        <v>333</v>
      </c>
      <c r="I28" s="34" t="s">
        <v>392</v>
      </c>
    </row>
    <row r="29" spans="1:9" x14ac:dyDescent="0.25">
      <c r="A29" s="31"/>
      <c r="B29" s="37"/>
      <c r="C29" s="37" t="s">
        <v>479</v>
      </c>
      <c r="D29" s="33" t="s">
        <v>139</v>
      </c>
      <c r="E29" s="33" t="s">
        <v>480</v>
      </c>
      <c r="F29" s="33" t="s">
        <v>364</v>
      </c>
      <c r="G29" s="33" t="s">
        <v>139</v>
      </c>
      <c r="H29" s="33" t="s">
        <v>480</v>
      </c>
      <c r="I29" s="34" t="s">
        <v>487</v>
      </c>
    </row>
    <row r="30" spans="1:9" x14ac:dyDescent="0.25">
      <c r="A30" s="31"/>
      <c r="B30" s="37"/>
      <c r="C30" s="37" t="s">
        <v>482</v>
      </c>
      <c r="D30" s="33" t="s">
        <v>287</v>
      </c>
      <c r="E30" s="33" t="s">
        <v>348</v>
      </c>
      <c r="F30" s="33" t="s">
        <v>393</v>
      </c>
      <c r="G30" s="33" t="s">
        <v>287</v>
      </c>
      <c r="H30" s="33" t="s">
        <v>348</v>
      </c>
      <c r="I30" s="34" t="s">
        <v>393</v>
      </c>
    </row>
    <row r="31" spans="1:9" x14ac:dyDescent="0.25">
      <c r="A31" s="31"/>
      <c r="B31" s="37"/>
      <c r="C31" s="37" t="s">
        <v>375</v>
      </c>
      <c r="D31" s="38" t="s">
        <v>500</v>
      </c>
      <c r="E31" s="38" t="s">
        <v>501</v>
      </c>
      <c r="F31" s="38" t="s">
        <v>364</v>
      </c>
      <c r="G31" s="38" t="s">
        <v>500</v>
      </c>
      <c r="H31" s="38" t="s">
        <v>502</v>
      </c>
      <c r="I31" s="39" t="s">
        <v>396</v>
      </c>
    </row>
    <row r="32" spans="1:9" x14ac:dyDescent="0.25">
      <c r="A32" s="31"/>
      <c r="B32" s="40" t="s">
        <v>153</v>
      </c>
      <c r="C32" s="40" t="s">
        <v>479</v>
      </c>
      <c r="D32" s="33" t="s">
        <v>71</v>
      </c>
      <c r="E32" s="33" t="s">
        <v>209</v>
      </c>
      <c r="F32" s="33" t="s">
        <v>368</v>
      </c>
      <c r="G32" s="33" t="s">
        <v>71</v>
      </c>
      <c r="H32" s="33" t="s">
        <v>209</v>
      </c>
      <c r="I32" s="34" t="s">
        <v>372</v>
      </c>
    </row>
    <row r="33" spans="1:9" x14ac:dyDescent="0.25">
      <c r="A33" s="31"/>
      <c r="B33" s="40"/>
      <c r="C33" s="40" t="s">
        <v>482</v>
      </c>
      <c r="D33" s="33" t="s">
        <v>287</v>
      </c>
      <c r="E33" s="33" t="s">
        <v>348</v>
      </c>
      <c r="F33" s="33" t="s">
        <v>393</v>
      </c>
      <c r="G33" s="33" t="s">
        <v>287</v>
      </c>
      <c r="H33" s="33" t="s">
        <v>348</v>
      </c>
      <c r="I33" s="34" t="s">
        <v>393</v>
      </c>
    </row>
    <row r="34" spans="1:9" x14ac:dyDescent="0.25">
      <c r="A34" s="31"/>
      <c r="B34" s="40"/>
      <c r="C34" s="40" t="s">
        <v>375</v>
      </c>
      <c r="D34" s="41" t="s">
        <v>235</v>
      </c>
      <c r="E34" s="41" t="s">
        <v>100</v>
      </c>
      <c r="F34" s="41" t="s">
        <v>410</v>
      </c>
      <c r="G34" s="41" t="s">
        <v>235</v>
      </c>
      <c r="H34" s="41" t="s">
        <v>503</v>
      </c>
      <c r="I34" s="42" t="s">
        <v>368</v>
      </c>
    </row>
    <row r="35" spans="1:9" x14ac:dyDescent="0.25">
      <c r="A35" s="31"/>
      <c r="B35" s="43" t="s">
        <v>156</v>
      </c>
      <c r="C35" s="44" t="s">
        <v>479</v>
      </c>
      <c r="D35" s="33" t="s">
        <v>71</v>
      </c>
      <c r="E35" s="33" t="s">
        <v>490</v>
      </c>
      <c r="F35" s="33" t="s">
        <v>491</v>
      </c>
      <c r="G35" s="33" t="s">
        <v>71</v>
      </c>
      <c r="H35" s="33" t="s">
        <v>490</v>
      </c>
      <c r="I35" s="34" t="s">
        <v>381</v>
      </c>
    </row>
    <row r="36" spans="1:9" x14ac:dyDescent="0.25">
      <c r="A36" s="31"/>
      <c r="B36" s="43"/>
      <c r="C36" s="43" t="s">
        <v>375</v>
      </c>
      <c r="D36" s="45" t="s">
        <v>71</v>
      </c>
      <c r="E36" s="45" t="s">
        <v>281</v>
      </c>
      <c r="F36" s="45" t="s">
        <v>491</v>
      </c>
      <c r="G36" s="45" t="s">
        <v>71</v>
      </c>
      <c r="H36" s="45" t="s">
        <v>490</v>
      </c>
      <c r="I36" s="46" t="s">
        <v>381</v>
      </c>
    </row>
  </sheetData>
  <mergeCells count="16">
    <mergeCell ref="A2:H2"/>
    <mergeCell ref="A4:A14"/>
    <mergeCell ref="B4:B5"/>
    <mergeCell ref="B6:B9"/>
    <mergeCell ref="B10:B12"/>
    <mergeCell ref="B13:B14"/>
    <mergeCell ref="A15:A25"/>
    <mergeCell ref="B15:B16"/>
    <mergeCell ref="B17:B20"/>
    <mergeCell ref="B21:B23"/>
    <mergeCell ref="B24:B25"/>
    <mergeCell ref="A26:A36"/>
    <mergeCell ref="B26:B27"/>
    <mergeCell ref="B28:B31"/>
    <mergeCell ref="B32:B34"/>
    <mergeCell ref="B35:B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상영시간표_2026-01-14</vt:lpstr>
      <vt:lpstr>상영시간표_2026-01-15</vt:lpstr>
      <vt:lpstr>상영시간표_2026-01-16</vt:lpstr>
      <vt:lpstr>계열사별</vt:lpstr>
      <vt:lpstr>지역별</vt:lpstr>
      <vt:lpstr>집계작 및 경쟁작 멀티3사 비교</vt:lpstr>
      <vt:lpstr>경쟁작</vt:lpstr>
      <vt:lpstr>포맷별 요약표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2026-01-12T01:03:05Z</dcterms:created>
  <dcterms:modified xsi:type="dcterms:W3CDTF">2026-01-12T01:03:05Z</dcterms:modified>
</cp:coreProperties>
</file>